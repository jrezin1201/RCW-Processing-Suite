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46086</v>
      </c>
      <c r="B2" s="2" t="n">
        <v>46085</v>
      </c>
      <c r="C2" s="3" t="inlineStr">
        <is>
          <t>AMAZON.COM*ABC123</t>
        </is>
      </c>
      <c r="D2" s="4" t="n">
        <v>45.99</v>
      </c>
    </row>
    <row r="3">
      <c r="D3" s="5">
        <f>SUM(D2:D2)</f>
        <v/>
      </c>
      <c r="E3" s="5">
        <f>SUM(D2:D2)</f>
        <v/>
      </c>
    </row>
    <row r="5">
      <c r="A5" s="2" t="n">
        <v>46109</v>
      </c>
      <c r="B5" s="2" t="n">
        <v>46108</v>
      </c>
      <c r="C5" s="3" t="inlineStr">
        <is>
          <t>AMAZON.COM*M55432</t>
        </is>
      </c>
      <c r="D5" s="4" t="n">
        <v>34.25</v>
      </c>
    </row>
    <row r="6">
      <c r="D6" s="5">
        <f>SUM(D5:D5)</f>
        <v/>
      </c>
      <c r="E6" s="5">
        <f>SUM(D5:D5)</f>
        <v/>
      </c>
    </row>
    <row r="8">
      <c r="A8" s="2" t="n">
        <v>46099</v>
      </c>
      <c r="B8" s="2" t="n">
        <v>46098</v>
      </c>
      <c r="C8" s="3" t="inlineStr">
        <is>
          <t>AMAZON.COM*P9982</t>
        </is>
      </c>
      <c r="D8" s="4" t="n">
        <v>89.75</v>
      </c>
    </row>
    <row r="9">
      <c r="D9" s="5">
        <f>SUM(D8:D8)</f>
        <v/>
      </c>
      <c r="E9" s="5">
        <f>SUM(D8:D8)</f>
        <v/>
      </c>
    </row>
    <row r="11">
      <c r="A11" s="2" t="n">
        <v>46091</v>
      </c>
      <c r="B11" s="2" t="n">
        <v>46090</v>
      </c>
      <c r="C11" s="3" t="inlineStr">
        <is>
          <t>AMAZON.COM*QQ4421</t>
        </is>
      </c>
      <c r="D11" s="4" t="n">
        <v>67.3</v>
      </c>
    </row>
    <row r="12">
      <c r="D12" s="5">
        <f>SUM(D11:D11)</f>
        <v/>
      </c>
      <c r="E12" s="5">
        <f>SUM(D11:D11)</f>
        <v/>
      </c>
    </row>
    <row r="14">
      <c r="A14" s="2" t="n">
        <v>46089</v>
      </c>
      <c r="B14" s="2" t="n">
        <v>46087</v>
      </c>
      <c r="C14" s="3" t="inlineStr">
        <is>
          <t>AMAZON.COM*XYZ789</t>
        </is>
      </c>
      <c r="D14" s="4" t="n">
        <v>128.5</v>
      </c>
    </row>
    <row r="15">
      <c r="D15" s="5">
        <f>SUM(D14:D14)</f>
        <v/>
      </c>
      <c r="E15" s="5">
        <f>SUM(D14:D14)</f>
        <v/>
      </c>
    </row>
    <row r="17">
      <c r="A17" s="2" t="n">
        <v>46090</v>
      </c>
      <c r="B17" s="2" t="n">
        <v>46089</v>
      </c>
      <c r="C17" s="3" t="inlineStr">
        <is>
          <t>APPLE.COM/BILL</t>
        </is>
      </c>
      <c r="D17" s="4" t="n">
        <v>9.99</v>
      </c>
    </row>
    <row r="18">
      <c r="A18" s="2" t="n">
        <v>46121</v>
      </c>
      <c r="B18" s="2" t="n">
        <v>46120</v>
      </c>
      <c r="C18" s="3" t="inlineStr">
        <is>
          <t>APPLE.COM/BILL</t>
        </is>
      </c>
      <c r="D18" s="4" t="n">
        <v>9.99</v>
      </c>
    </row>
    <row r="19">
      <c r="D19" s="5">
        <f>SUM(D17:D18)</f>
        <v/>
      </c>
      <c r="E19" s="5">
        <f>SUM(D17:D18)</f>
        <v/>
      </c>
    </row>
    <row r="21">
      <c r="A21" s="2" t="n">
        <v>46123</v>
      </c>
      <c r="B21" s="2" t="n">
        <v>46122</v>
      </c>
      <c r="C21" s="3" t="inlineStr">
        <is>
          <t>DOORDASH*CHIPOTLE</t>
        </is>
      </c>
      <c r="D21" s="4" t="n">
        <v>22.15</v>
      </c>
    </row>
    <row r="22">
      <c r="D22" s="5">
        <f>SUM(D21:D21)</f>
        <v/>
      </c>
      <c r="E22" s="5">
        <f>SUM(D21:D21)</f>
        <v/>
      </c>
    </row>
    <row r="24">
      <c r="A24" s="2" t="n">
        <v>46096</v>
      </c>
      <c r="B24" s="2" t="n">
        <v>46095</v>
      </c>
      <c r="C24" s="3" t="inlineStr">
        <is>
          <t>DOORDASH*MCDONALDS</t>
        </is>
      </c>
      <c r="D24" s="4" t="n">
        <v>19.8</v>
      </c>
    </row>
    <row r="25">
      <c r="D25" s="5">
        <f>SUM(D24:D24)</f>
        <v/>
      </c>
      <c r="E25" s="5">
        <f>SUM(D24:D24)</f>
        <v/>
      </c>
    </row>
    <row r="27">
      <c r="A27" s="2" t="n">
        <v>46085</v>
      </c>
      <c r="B27" s="2" t="n">
        <v>46084</v>
      </c>
      <c r="C27" s="3" t="inlineStr">
        <is>
          <t>DOORDASH*PIZZAHUT</t>
        </is>
      </c>
      <c r="D27" s="4" t="n">
        <v>28.45</v>
      </c>
    </row>
    <row r="28">
      <c r="D28" s="5">
        <f>SUM(D27:D27)</f>
        <v/>
      </c>
      <c r="E28" s="5">
        <f>SUM(D27:D27)</f>
        <v/>
      </c>
    </row>
    <row r="30">
      <c r="A30" s="2" t="n">
        <v>46092</v>
      </c>
      <c r="B30" s="2" t="n">
        <v>46091</v>
      </c>
      <c r="C30" s="3" t="inlineStr">
        <is>
          <t>TARGET 00001234</t>
        </is>
      </c>
      <c r="D30" s="4" t="n">
        <v>234.56</v>
      </c>
    </row>
    <row r="31">
      <c r="A31" s="2" t="n">
        <v>46106</v>
      </c>
      <c r="B31" s="2" t="n">
        <v>46105</v>
      </c>
      <c r="C31" s="3" t="inlineStr">
        <is>
          <t>TARGET 00001234</t>
        </is>
      </c>
      <c r="D31" s="4" t="n">
        <v>145.3</v>
      </c>
    </row>
    <row r="32">
      <c r="D32" s="5">
        <f>SUM(D30:D31)</f>
        <v/>
      </c>
      <c r="E32" s="5">
        <f>SUM(D30:D31)</f>
        <v/>
      </c>
    </row>
    <row r="34">
      <c r="A34" s="2" t="n">
        <v>46097</v>
      </c>
      <c r="B34" s="2" t="n">
        <v>46096</v>
      </c>
      <c r="C34" s="3" t="inlineStr">
        <is>
          <t>TEXACO 09812</t>
        </is>
      </c>
      <c r="D34" s="4" t="n">
        <v>72.3</v>
      </c>
    </row>
    <row r="35">
      <c r="A35" s="2" t="n">
        <v>46088</v>
      </c>
      <c r="B35" s="2" t="n">
        <v>46087</v>
      </c>
      <c r="C35" s="3" t="inlineStr">
        <is>
          <t>TEXACO #4421</t>
        </is>
      </c>
      <c r="D35" s="4" t="n">
        <v>67.5</v>
      </c>
    </row>
    <row r="36">
      <c r="A36" s="2" t="n">
        <v>46105</v>
      </c>
      <c r="B36" s="2" t="n">
        <v>46103</v>
      </c>
      <c r="C36" s="3" t="inlineStr">
        <is>
          <t>TEXACO #4421</t>
        </is>
      </c>
      <c r="D36" s="4" t="n">
        <v>58.95</v>
      </c>
    </row>
    <row r="37">
      <c r="D37" s="5">
        <f>SUM(D34:D36)</f>
        <v/>
      </c>
      <c r="E37" s="5">
        <f>SUM(D34:D36)</f>
        <v/>
      </c>
    </row>
    <row r="39">
      <c r="A39" s="2" t="n">
        <v>46100</v>
      </c>
      <c r="B39" s="2" t="n">
        <v>46099</v>
      </c>
      <c r="C39" s="3" t="inlineStr">
        <is>
          <t>WAL-MART 09812</t>
        </is>
      </c>
      <c r="D39" s="4" t="n">
        <v>89.2</v>
      </c>
    </row>
    <row r="40">
      <c r="A40" s="2" t="n">
        <v>46087</v>
      </c>
      <c r="B40" s="2" t="n">
        <v>46086</v>
      </c>
      <c r="C40" s="3" t="inlineStr">
        <is>
          <t>WAL-MART #4421</t>
        </is>
      </c>
      <c r="D40" s="4" t="n">
        <v>156.78</v>
      </c>
    </row>
    <row r="41">
      <c r="D41" s="5">
        <f>SUM(D39:D40)</f>
        <v/>
      </c>
      <c r="E41" s="5">
        <f>SUM(D39:D40)</f>
        <v/>
      </c>
    </row>
    <row r="43">
      <c r="C43" s="6" t="inlineStr">
        <is>
          <t>Credits &amp; Refunds</t>
        </is>
      </c>
    </row>
    <row r="44">
      <c r="A44" s="2" t="n">
        <v>46093</v>
      </c>
      <c r="B44" s="2" t="n">
        <v>46091</v>
      </c>
      <c r="C44" s="3" t="inlineStr">
        <is>
          <t>WAL-MART #4421</t>
        </is>
      </c>
      <c r="D44" s="4" t="n">
        <v>-23.45</v>
      </c>
    </row>
    <row r="45">
      <c r="A45" s="2" t="n">
        <v>46094</v>
      </c>
      <c r="B45" s="2" t="n">
        <v>46093</v>
      </c>
      <c r="C45" s="3" t="inlineStr">
        <is>
          <t>NORDSTROM #0234</t>
        </is>
      </c>
      <c r="D45" s="4" t="n">
        <v>-89.5</v>
      </c>
    </row>
    <row r="46">
      <c r="A46" s="2" t="n">
        <v>46095</v>
      </c>
      <c r="B46" s="2" t="n">
        <v>46094</v>
      </c>
      <c r="C46" s="3" t="inlineStr">
        <is>
          <t>AMAZON.COM*REFUND001</t>
        </is>
      </c>
      <c r="D46" s="4" t="n">
        <v>-45.99</v>
      </c>
    </row>
    <row r="47">
      <c r="A47" s="2" t="n">
        <v>46098</v>
      </c>
      <c r="B47" s="2" t="n">
        <v>46096</v>
      </c>
      <c r="C47" s="3" t="inlineStr">
        <is>
          <t>TARGET T-2234</t>
        </is>
      </c>
      <c r="D47" s="4" t="n">
        <v>-67.89</v>
      </c>
    </row>
    <row r="48">
      <c r="A48" s="2" t="n">
        <v>46102</v>
      </c>
      <c r="B48" s="2" t="n">
        <v>46100</v>
      </c>
      <c r="C48" s="3" t="inlineStr">
        <is>
          <t>NORDSTROM #0234</t>
        </is>
      </c>
      <c r="D48" s="4" t="n">
        <v>-156</v>
      </c>
    </row>
    <row r="49">
      <c r="A49" s="2" t="n">
        <v>46103</v>
      </c>
      <c r="B49" s="2" t="n">
        <v>46101</v>
      </c>
      <c r="C49" s="3" t="inlineStr">
        <is>
          <t>AMAZON.COM*REFUND022</t>
        </is>
      </c>
      <c r="D49" s="4" t="n">
        <v>-128.5</v>
      </c>
    </row>
    <row r="50">
      <c r="A50" s="2" t="n">
        <v>46111</v>
      </c>
      <c r="B50" s="2" t="n">
        <v>46111</v>
      </c>
      <c r="C50" s="3" t="inlineStr">
        <is>
          <t>PAYMENT RECEIVED - THANK</t>
        </is>
      </c>
      <c r="D50" s="4" t="n">
        <v>-2500</v>
      </c>
    </row>
    <row r="51">
      <c r="A51" s="2" t="n">
        <v>46113</v>
      </c>
      <c r="B51" s="2" t="n">
        <v>46111</v>
      </c>
      <c r="C51" s="3" t="inlineStr">
        <is>
          <t>DOORDASH*REFUND</t>
        </is>
      </c>
      <c r="D51" s="4" t="n">
        <v>-28.45</v>
      </c>
    </row>
    <row r="52">
      <c r="A52" s="2" t="n">
        <v>46114</v>
      </c>
      <c r="B52" s="2" t="n">
        <v>46113</v>
      </c>
      <c r="C52" s="3" t="inlineStr">
        <is>
          <t>CASHBACK REWARD</t>
        </is>
      </c>
      <c r="D52" s="4" t="n">
        <v>-42.18</v>
      </c>
    </row>
    <row r="53">
      <c r="A53" s="2" t="n">
        <v>46118</v>
      </c>
      <c r="B53" s="2" t="n">
        <v>46117</v>
      </c>
      <c r="C53" s="3" t="inlineStr">
        <is>
          <t>NORDSTROM 00112</t>
        </is>
      </c>
      <c r="D53" s="4" t="n">
        <v>-45.25</v>
      </c>
    </row>
    <row r="54">
      <c r="A54" s="2" t="n">
        <v>46120</v>
      </c>
      <c r="B54" s="2" t="n">
        <v>46119</v>
      </c>
      <c r="C54" s="3" t="inlineStr">
        <is>
          <t>STATEMENT CREDIT</t>
        </is>
      </c>
      <c r="D54" s="4" t="n">
        <v>-15</v>
      </c>
    </row>
    <row r="55">
      <c r="A55" s="2" t="n">
        <v>46127</v>
      </c>
      <c r="B55" s="2" t="n">
        <v>46126</v>
      </c>
      <c r="C55" s="3" t="inlineStr">
        <is>
          <t>PROMOTIONAL CREDIT 0023</t>
        </is>
      </c>
      <c r="D55" s="4" t="n">
        <v>-25.5</v>
      </c>
    </row>
    <row r="56">
      <c r="A56" s="2" t="n">
        <v>46142</v>
      </c>
      <c r="B56" s="2" t="n">
        <v>46142</v>
      </c>
      <c r="C56" s="3" t="inlineStr">
        <is>
          <t>PAYMENT RECEIVED - THANK</t>
        </is>
      </c>
      <c r="D56" s="4" t="n">
        <v>-1850</v>
      </c>
    </row>
    <row r="57">
      <c r="D57" s="5">
        <f>SUM(D44:D56)</f>
        <v/>
      </c>
      <c r="E57" s="5">
        <f>SUM(D44:D56)</f>
        <v/>
      </c>
    </row>
    <row r="59">
      <c r="C59" s="7" t="inlineStr">
        <is>
          <t>Grand Total (Charges Only)</t>
        </is>
      </c>
      <c r="E59" s="5">
        <f>SUM(E3,E6,E9,E12,E15,E19,E22,E25,E28,E32,E37,E41)</f>
        <v/>
      </c>
    </row>
    <row r="60">
      <c r="C60" s="7" t="inlineStr">
        <is>
          <t>Grand Total (Net)</t>
        </is>
      </c>
      <c r="E60" s="8">
        <f>E59+E57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2026-05-01T01:06:45Z</dcterms:created>
  <dcterms:modified xsi:type="dcterms:W3CDTF">2026-05-01T01:06:45Z</dcterms:modified>
</cp:coreProperties>
</file>