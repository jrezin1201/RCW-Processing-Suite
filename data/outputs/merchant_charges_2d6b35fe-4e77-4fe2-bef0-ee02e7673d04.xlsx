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rchant Char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m/d/yyyy"/>
    <numFmt numFmtId="166" formatCode="#,##0.00;(#,##0.00)"/>
    <numFmt numFmtId="167" formatCode="m/d/yyyy h:mm AM/PM"/>
    <numFmt numFmtId="168" formatCode="$#,##0.00;($#,##0.00)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sz val="16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167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3" fontId="1" fillId="0" borderId="0" applyAlignment="1" pivotButton="0" quotePrefix="0" xfId="0">
      <alignment horizontal="left" vertical="center"/>
    </xf>
    <xf numFmtId="168" fontId="1" fillId="0" borderId="0" applyAlignment="1" pivotButton="0" quotePrefix="0" xfId="0">
      <alignment horizontal="left" vertical="center"/>
    </xf>
    <xf numFmtId="168" fontId="1" fillId="0" borderId="2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165" fontId="2" fillId="0" borderId="0" pivotButton="0" quotePrefix="0" xfId="0"/>
    <xf numFmtId="0" fontId="2" fillId="0" borderId="0" pivotButton="0" quotePrefix="0" xfId="0"/>
    <xf numFmtId="166" fontId="2" fillId="0" borderId="0" applyAlignment="1" pivotButton="0" quotePrefix="0" xfId="0">
      <alignment horizontal="right" vertical="center"/>
    </xf>
    <xf numFmtId="166" fontId="1" fillId="0" borderId="2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166" fontId="1" fillId="0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66092"/>
    <outlinePr summaryBelow="1" summaryRight="1"/>
    <pageSetUpPr/>
  </sheetPr>
  <dimension ref="B2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2" customWidth="1" min="3" max="3"/>
  </cols>
  <sheetData>
    <row r="2">
      <c r="B2" s="1" t="inlineStr">
        <is>
          <t>Merchant Charges Report</t>
        </is>
      </c>
    </row>
    <row r="4">
      <c r="B4" s="2" t="inlineStr">
        <is>
          <t>Generated:</t>
        </is>
      </c>
      <c r="C4" s="3" t="n">
        <v>46142.78271396683</v>
      </c>
    </row>
    <row r="5">
      <c r="B5" s="2" t="inlineStr">
        <is>
          <t>Date range (Posted):</t>
        </is>
      </c>
      <c r="C5" s="4" t="inlineStr">
        <is>
          <t>3/4/2026 – 4/22/2026</t>
        </is>
      </c>
    </row>
    <row r="7">
      <c r="B7" s="5" t="inlineStr">
        <is>
          <t>TRANSACTION COUNTS</t>
        </is>
      </c>
      <c r="C7" s="6" t="n"/>
    </row>
    <row r="8">
      <c r="B8" s="2" t="inlineStr">
        <is>
          <t>Total transactions in input:</t>
        </is>
      </c>
      <c r="C8" s="7" t="n">
        <v>30</v>
      </c>
    </row>
    <row r="9">
      <c r="B9" s="2" t="inlineStr">
        <is>
          <t>Charges (positive):</t>
        </is>
      </c>
      <c r="C9" s="7" t="n">
        <v>27</v>
      </c>
    </row>
    <row r="10">
      <c r="B10" s="2" t="inlineStr">
        <is>
          <t>Credits (negative):</t>
        </is>
      </c>
      <c r="C10" s="7" t="n">
        <v>3</v>
      </c>
    </row>
    <row r="12">
      <c r="B12" s="5" t="inlineStr">
        <is>
          <t>DOLLAR TOTALS</t>
        </is>
      </c>
      <c r="C12" s="6" t="n"/>
    </row>
    <row r="13">
      <c r="B13" s="2" t="inlineStr">
        <is>
          <t>Grand Total (Charges Only):</t>
        </is>
      </c>
      <c r="C13" s="8">
        <f>'Merchant Charges'!E69</f>
        <v/>
      </c>
    </row>
    <row r="14">
      <c r="B14" s="2" t="inlineStr">
        <is>
          <t>Credits &amp; Refunds subtotal:</t>
        </is>
      </c>
      <c r="C14" s="8">
        <f>'Merchant Charges'!E67</f>
        <v/>
      </c>
    </row>
    <row r="15">
      <c r="B15" s="2" t="inlineStr">
        <is>
          <t>Grand Total (Net):</t>
        </is>
      </c>
      <c r="C15" s="9">
        <f>'Merchant Charges'!E70</f>
        <v/>
      </c>
    </row>
    <row r="17">
      <c r="B17" s="5" t="inlineStr">
        <is>
          <t>BRAND GROUPS</t>
        </is>
      </c>
      <c r="C17" s="6" t="n"/>
    </row>
    <row r="18">
      <c r="B18" s="2" t="inlineStr">
        <is>
          <t>Total brand groups:</t>
        </is>
      </c>
      <c r="C18" s="7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4" customWidth="1" min="4" max="4"/>
    <col width="16" customWidth="1" min="5" max="5"/>
  </cols>
  <sheetData>
    <row r="1">
      <c r="A1" s="10" t="inlineStr">
        <is>
          <t>Posted Date</t>
        </is>
      </c>
      <c r="B1" s="10" t="inlineStr">
        <is>
          <t>Occurred Date</t>
        </is>
      </c>
      <c r="C1" s="10" t="inlineStr">
        <is>
          <t>Merchant Name</t>
        </is>
      </c>
      <c r="D1" s="10" t="inlineStr">
        <is>
          <t>Amount</t>
        </is>
      </c>
      <c r="E1" s="10" t="inlineStr">
        <is>
          <t>Merchant Total</t>
        </is>
      </c>
    </row>
    <row r="2">
      <c r="A2" s="11" t="n">
        <v>46097</v>
      </c>
      <c r="B2" s="11" t="n">
        <v>46097</v>
      </c>
      <c r="C2" s="12" t="inlineStr">
        <is>
          <t>ATM WITHDRAWAL #123</t>
        </is>
      </c>
      <c r="D2" s="13" t="n">
        <v>100</v>
      </c>
    </row>
    <row r="3">
      <c r="A3" s="11" t="n">
        <v>46128</v>
      </c>
      <c r="B3" s="11" t="n">
        <v>46128</v>
      </c>
      <c r="C3" s="12" t="inlineStr">
        <is>
          <t>ATM WITHDRAWAL #123</t>
        </is>
      </c>
      <c r="D3" s="13" t="n">
        <v>200</v>
      </c>
    </row>
    <row r="4">
      <c r="D4" s="14">
        <f>SUM(D2:D3)</f>
        <v/>
      </c>
      <c r="E4" s="14">
        <f>SUM(D2:D3)</f>
        <v/>
      </c>
    </row>
    <row r="6">
      <c r="A6" s="11" t="n">
        <v>46129</v>
      </c>
      <c r="B6" s="11" t="n">
        <v>46127</v>
      </c>
      <c r="C6" s="12" t="inlineStr">
        <is>
          <t>BK #4421</t>
        </is>
      </c>
      <c r="D6" s="13" t="n">
        <v>7.5</v>
      </c>
    </row>
    <row r="7">
      <c r="D7" s="14">
        <f>SUM(D6:D6)</f>
        <v/>
      </c>
      <c r="E7" s="14">
        <f>SUM(D6:D6)</f>
        <v/>
      </c>
    </row>
    <row r="9">
      <c r="A9" s="11" t="n">
        <v>46102</v>
      </c>
      <c r="B9" s="11" t="n">
        <v>46100</v>
      </c>
      <c r="C9" s="12" t="inlineStr">
        <is>
          <t>BURGER KING 09812</t>
        </is>
      </c>
      <c r="D9" s="13" t="n">
        <v>11.4</v>
      </c>
    </row>
    <row r="10">
      <c r="A10" s="11" t="n">
        <v>46115</v>
      </c>
      <c r="B10" s="11" t="n">
        <v>46114</v>
      </c>
      <c r="C10" s="12" t="inlineStr">
        <is>
          <t>BURGERKING #2231</t>
        </is>
      </c>
      <c r="D10" s="13" t="n">
        <v>8.949999999999999</v>
      </c>
    </row>
    <row r="11">
      <c r="A11" s="11" t="n">
        <v>46094</v>
      </c>
      <c r="B11" s="11" t="n">
        <v>46093</v>
      </c>
      <c r="C11" s="12" t="inlineStr">
        <is>
          <t>BURGER KING #4421</t>
        </is>
      </c>
      <c r="D11" s="13" t="n">
        <v>9.85</v>
      </c>
    </row>
    <row r="12">
      <c r="D12" s="14">
        <f>SUM(D9:D11)</f>
        <v/>
      </c>
      <c r="E12" s="14">
        <f>SUM(D9:D11)</f>
        <v/>
      </c>
    </row>
    <row r="14">
      <c r="A14" s="11" t="n">
        <v>46085</v>
      </c>
      <c r="B14" s="11" t="n">
        <v>46084</v>
      </c>
      <c r="C14" s="12" t="inlineStr">
        <is>
          <t>GREAT WALL CHINESE RES</t>
        </is>
      </c>
      <c r="D14" s="13" t="n">
        <v>32.45</v>
      </c>
    </row>
    <row r="15">
      <c r="A15" s="11" t="n">
        <v>46099</v>
      </c>
      <c r="B15" s="11" t="n">
        <v>46097</v>
      </c>
      <c r="C15" s="12" t="inlineStr">
        <is>
          <t>GREAT WALL CHINESE RES</t>
        </is>
      </c>
      <c r="D15" s="13" t="n">
        <v>28.9</v>
      </c>
    </row>
    <row r="16">
      <c r="A16" s="11" t="n">
        <v>46117</v>
      </c>
      <c r="B16" s="11" t="n">
        <v>46116</v>
      </c>
      <c r="C16" s="12" t="inlineStr">
        <is>
          <t>GREAT WALL CHINESE RES</t>
        </is>
      </c>
      <c r="D16" s="13" t="n">
        <v>41.2</v>
      </c>
    </row>
    <row r="17">
      <c r="D17" s="14">
        <f>SUM(D14:D16)</f>
        <v/>
      </c>
      <c r="E17" s="14">
        <f>SUM(D14:D16)</f>
        <v/>
      </c>
    </row>
    <row r="19">
      <c r="A19" s="11" t="n">
        <v>46123</v>
      </c>
      <c r="B19" s="11" t="n">
        <v>46122</v>
      </c>
      <c r="C19" s="12" t="inlineStr">
        <is>
          <t>NETFLIX.COM</t>
        </is>
      </c>
      <c r="D19" s="13" t="n">
        <v>15.99</v>
      </c>
    </row>
    <row r="20">
      <c r="D20" s="14">
        <f>SUM(D19:D19)</f>
        <v/>
      </c>
      <c r="E20" s="14">
        <f>SUM(D19:D19)</f>
        <v/>
      </c>
    </row>
    <row r="22">
      <c r="A22" s="11" t="n">
        <v>46086</v>
      </c>
      <c r="B22" s="11" t="n">
        <v>46085</v>
      </c>
      <c r="C22" s="12" t="inlineStr">
        <is>
          <t>PAYPAL *EBAYSELLER1</t>
        </is>
      </c>
      <c r="D22" s="13" t="n">
        <v>24.99</v>
      </c>
    </row>
    <row r="23">
      <c r="D23" s="14">
        <f>SUM(D22:D22)</f>
        <v/>
      </c>
      <c r="E23" s="14">
        <f>SUM(D22:D22)</f>
        <v/>
      </c>
    </row>
    <row r="25">
      <c r="A25" s="11" t="n">
        <v>46106</v>
      </c>
      <c r="B25" s="11" t="n">
        <v>46105</v>
      </c>
      <c r="C25" s="12" t="inlineStr">
        <is>
          <t>PAYPAL *ETSYSHOP</t>
        </is>
      </c>
      <c r="D25" s="13" t="n">
        <v>35.2</v>
      </c>
    </row>
    <row r="26">
      <c r="D26" s="14">
        <f>SUM(D25:D25)</f>
        <v/>
      </c>
      <c r="E26" s="14">
        <f>SUM(D25:D25)</f>
        <v/>
      </c>
    </row>
    <row r="28">
      <c r="A28" s="11" t="n">
        <v>46093</v>
      </c>
      <c r="B28" s="11" t="n">
        <v>46091</v>
      </c>
      <c r="C28" s="12" t="inlineStr">
        <is>
          <t>PAYPAL *MERCHANT99</t>
        </is>
      </c>
      <c r="D28" s="13" t="n">
        <v>67.5</v>
      </c>
    </row>
    <row r="29">
      <c r="D29" s="14">
        <f>SUM(D28:D28)</f>
        <v/>
      </c>
      <c r="E29" s="14">
        <f>SUM(D28:D28)</f>
        <v/>
      </c>
    </row>
    <row r="31">
      <c r="A31" s="11" t="n">
        <v>46088</v>
      </c>
      <c r="B31" s="11" t="n">
        <v>46087</v>
      </c>
      <c r="C31" s="12" t="inlineStr">
        <is>
          <t>SHELL OIL 12345</t>
        </is>
      </c>
      <c r="D31" s="13" t="n">
        <v>67.45</v>
      </c>
    </row>
    <row r="32">
      <c r="A32" s="11" t="n">
        <v>46095</v>
      </c>
      <c r="B32" s="11" t="n">
        <v>46093</v>
      </c>
      <c r="C32" s="12" t="inlineStr">
        <is>
          <t>SHELL OIL 12345</t>
        </is>
      </c>
      <c r="D32" s="13" t="n">
        <v>72.3</v>
      </c>
    </row>
    <row r="33">
      <c r="A33" s="11" t="n">
        <v>46113</v>
      </c>
      <c r="B33" s="11" t="n">
        <v>46112</v>
      </c>
      <c r="C33" s="12" t="inlineStr">
        <is>
          <t>SHELL OIL  98765</t>
        </is>
      </c>
      <c r="D33" s="13" t="n">
        <v>58.95</v>
      </c>
    </row>
    <row r="34">
      <c r="D34" s="14">
        <f>SUM(D31:D33)</f>
        <v/>
      </c>
      <c r="E34" s="14">
        <f>SUM(D31:D33)</f>
        <v/>
      </c>
    </row>
    <row r="36">
      <c r="A36" s="11" t="n">
        <v>46125</v>
      </c>
      <c r="B36" s="11" t="n">
        <v>46124</v>
      </c>
      <c r="C36" s="12" t="inlineStr">
        <is>
          <t>SPOTIFY USA</t>
        </is>
      </c>
      <c r="D36" s="13" t="n">
        <v>9.99</v>
      </c>
    </row>
    <row r="37">
      <c r="D37" s="14">
        <f>SUM(D36:D36)</f>
        <v/>
      </c>
      <c r="E37" s="14">
        <f>SUM(D36:D36)</f>
        <v/>
      </c>
    </row>
    <row r="39">
      <c r="A39" s="11" t="n">
        <v>46090</v>
      </c>
      <c r="B39" s="11" t="n">
        <v>46089</v>
      </c>
      <c r="C39" s="12" t="inlineStr">
        <is>
          <t>SQ *COFFEE STAND</t>
        </is>
      </c>
      <c r="D39" s="13" t="n">
        <v>6.5</v>
      </c>
    </row>
    <row r="40">
      <c r="A40" s="11" t="n">
        <v>46120</v>
      </c>
      <c r="B40" s="11" t="n">
        <v>46119</v>
      </c>
      <c r="C40" s="12" t="inlineStr">
        <is>
          <t>SQ *COFFEE STAND</t>
        </is>
      </c>
      <c r="D40" s="13" t="n">
        <v>7.25</v>
      </c>
    </row>
    <row r="41">
      <c r="D41" s="14">
        <f>SUM(D39:D40)</f>
        <v/>
      </c>
      <c r="E41" s="14">
        <f>SUM(D39:D40)</f>
        <v/>
      </c>
    </row>
    <row r="43">
      <c r="A43" s="11" t="n">
        <v>46100</v>
      </c>
      <c r="B43" s="11" t="n">
        <v>46098</v>
      </c>
      <c r="C43" s="12" t="inlineStr">
        <is>
          <t>SQ *FARMERS MARKET</t>
        </is>
      </c>
      <c r="D43" s="13" t="n">
        <v>18.75</v>
      </c>
    </row>
    <row r="44">
      <c r="D44" s="14">
        <f>SUM(D43:D43)</f>
        <v/>
      </c>
      <c r="E44" s="14">
        <f>SUM(D43:D43)</f>
        <v/>
      </c>
    </row>
    <row r="46">
      <c r="A46" s="11" t="n">
        <v>46104</v>
      </c>
      <c r="B46" s="11" t="n">
        <v>46103</v>
      </c>
      <c r="C46" s="12" t="inlineStr">
        <is>
          <t>TESCO STORES 4421</t>
        </is>
      </c>
      <c r="D46" s="13" t="n">
        <v>45.2</v>
      </c>
    </row>
    <row r="47">
      <c r="A47" s="11" t="n">
        <v>46111</v>
      </c>
      <c r="B47" s="11" t="n">
        <v>46109</v>
      </c>
      <c r="C47" s="12" t="inlineStr">
        <is>
          <t>TESCO STORES 4421</t>
        </is>
      </c>
      <c r="D47" s="13" t="n">
        <v>32.8</v>
      </c>
    </row>
    <row r="48">
      <c r="D48" s="14">
        <f>SUM(D46:D47)</f>
        <v/>
      </c>
      <c r="E48" s="14">
        <f>SUM(D46:D47)</f>
        <v/>
      </c>
    </row>
    <row r="50">
      <c r="A50" s="11" t="n">
        <v>46109</v>
      </c>
      <c r="B50" s="11" t="n">
        <v>46107</v>
      </c>
      <c r="C50" s="12" t="inlineStr">
        <is>
          <t>TST* MOMS BAKERY 0234</t>
        </is>
      </c>
      <c r="D50" s="13" t="n">
        <v>22.15</v>
      </c>
    </row>
    <row r="51">
      <c r="D51" s="14">
        <f>SUM(D50:D50)</f>
        <v/>
      </c>
      <c r="E51" s="14">
        <f>SUM(D50:D50)</f>
        <v/>
      </c>
    </row>
    <row r="53">
      <c r="A53" s="11" t="n">
        <v>46092</v>
      </c>
      <c r="B53" s="11" t="n">
        <v>46091</v>
      </c>
      <c r="C53" s="12" t="inlineStr">
        <is>
          <t>TST* THE LOCAL EATERY</t>
        </is>
      </c>
      <c r="D53" s="13" t="n">
        <v>45.8</v>
      </c>
    </row>
    <row r="54">
      <c r="D54" s="14">
        <f>SUM(D53:D53)</f>
        <v/>
      </c>
      <c r="E54" s="14">
        <f>SUM(D53:D53)</f>
        <v/>
      </c>
    </row>
    <row r="56">
      <c r="A56" s="11" t="n">
        <v>46127</v>
      </c>
      <c r="B56" s="11" t="n">
        <v>46126</v>
      </c>
      <c r="C56" s="12" t="inlineStr">
        <is>
          <t>VERIZON WIRELESS#0023</t>
        </is>
      </c>
      <c r="D56" s="13" t="n">
        <v>12.5</v>
      </c>
    </row>
    <row r="57">
      <c r="D57" s="14">
        <f>SUM(D56:D56)</f>
        <v/>
      </c>
      <c r="E57" s="14">
        <f>SUM(D56:D56)</f>
        <v/>
      </c>
    </row>
    <row r="59">
      <c r="A59" s="11" t="n">
        <v>46087</v>
      </c>
      <c r="B59" s="11" t="n">
        <v>46086</v>
      </c>
      <c r="C59" s="12" t="inlineStr">
        <is>
          <t>VERIZON WRLS MYACCT VW</t>
        </is>
      </c>
      <c r="D59" s="13" t="n">
        <v>89.98999999999999</v>
      </c>
    </row>
    <row r="60">
      <c r="A60" s="11" t="n">
        <v>46118</v>
      </c>
      <c r="B60" s="11" t="n">
        <v>46117</v>
      </c>
      <c r="C60" s="12" t="inlineStr">
        <is>
          <t>VERIZON WRLS MYACCT VW</t>
        </is>
      </c>
      <c r="D60" s="13" t="n">
        <v>89.98999999999999</v>
      </c>
    </row>
    <row r="61">
      <c r="D61" s="14">
        <f>SUM(D59:D60)</f>
        <v/>
      </c>
      <c r="E61" s="14">
        <f>SUM(D59:D60)</f>
        <v/>
      </c>
    </row>
    <row r="63">
      <c r="C63" s="5" t="inlineStr">
        <is>
          <t>Credits &amp; Refunds</t>
        </is>
      </c>
    </row>
    <row r="64">
      <c r="A64" s="11" t="n">
        <v>46112</v>
      </c>
      <c r="B64" s="11" t="n">
        <v>46112</v>
      </c>
      <c r="C64" s="12" t="inlineStr">
        <is>
          <t>PAYMENT - THANK YOU</t>
        </is>
      </c>
      <c r="D64" s="13" t="n">
        <v>-1500</v>
      </c>
    </row>
    <row r="65">
      <c r="A65" s="11" t="n">
        <v>46130</v>
      </c>
      <c r="B65" s="11" t="n">
        <v>46129</v>
      </c>
      <c r="C65" s="12" t="inlineStr">
        <is>
          <t>AUTOPAY THANK YOU</t>
        </is>
      </c>
      <c r="D65" s="13" t="n">
        <v>-750</v>
      </c>
    </row>
    <row r="66">
      <c r="A66" s="11" t="n">
        <v>46134</v>
      </c>
      <c r="B66" s="11" t="n">
        <v>46133</v>
      </c>
      <c r="C66" s="12" t="inlineStr">
        <is>
          <t>PAYPAL *REFUND TR223</t>
        </is>
      </c>
      <c r="D66" s="13" t="n">
        <v>-24.99</v>
      </c>
    </row>
    <row r="67">
      <c r="D67" s="14">
        <f>SUM(D64:D66)</f>
        <v/>
      </c>
      <c r="E67" s="14">
        <f>SUM(D64:D66)</f>
        <v/>
      </c>
    </row>
    <row r="69">
      <c r="C69" s="15" t="inlineStr">
        <is>
          <t>Grand Total (Charges Only)</t>
        </is>
      </c>
      <c r="E69" s="14">
        <f>SUM(E4,E7,E12,E17,E20,E23,E26,E29,E34,E37,E41,E44,E48,E51,E54,E57,E61)</f>
        <v/>
      </c>
    </row>
    <row r="70">
      <c r="C70" s="15" t="inlineStr">
        <is>
          <t>Grand Total (Net)</t>
        </is>
      </c>
      <c r="E70" s="16">
        <f>E69+E67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2026-05-01T01:47:06Z</dcterms:created>
  <dcterms:modified xsi:type="dcterms:W3CDTF">2026-05-01T01:47:06Z</dcterms:modified>
</cp:coreProperties>
</file>