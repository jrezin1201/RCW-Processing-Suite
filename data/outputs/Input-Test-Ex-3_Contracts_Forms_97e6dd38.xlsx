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12" customWidth="1" min="9" max="9"/>
  </cols>
  <sheetData>
    <row r="1">
      <c r="B1" s="1" t="inlineStr">
        <is>
          <t>Project Name: Palmetto</t>
        </is>
      </c>
      <c r="G1" s="1" t="inlineStr">
        <is>
          <t>Phase:12</t>
        </is>
      </c>
      <c r="H1" s="2" t="inlineStr">
        <is>
          <t>HS 0101-0110 (FEB)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UA</t>
        </is>
      </c>
      <c r="G3" s="3" t="inlineStr">
        <is>
          <t>INTERIOR</t>
        </is>
      </c>
      <c r="H3" s="3" t="inlineStr">
        <is>
          <t>INT KITCHEN, BATH &amp; LIDS</t>
        </is>
      </c>
      <c r="I3" s="4" t="inlineStr">
        <is>
          <t>Total</t>
        </is>
      </c>
    </row>
    <row r="4">
      <c r="A4" s="5" t="n">
        <v>1</v>
      </c>
      <c r="B4" s="5" t="n">
        <v>101</v>
      </c>
      <c r="C4" s="5" t="inlineStr">
        <is>
          <t>2A</t>
        </is>
      </c>
      <c r="D4" s="6" t="n">
        <v>1483.66</v>
      </c>
      <c r="E4" s="6" t="n">
        <v>1113.76</v>
      </c>
      <c r="F4" s="6" t="n">
        <v>873.76</v>
      </c>
      <c r="G4" s="6" t="n">
        <v>3179.46</v>
      </c>
      <c r="H4" s="6" t="n">
        <v>0</v>
      </c>
      <c r="I4" s="7">
        <f>SUM(D4:H4)</f>
        <v/>
      </c>
    </row>
    <row r="5">
      <c r="A5" s="5" t="n">
        <v>2</v>
      </c>
      <c r="B5" s="5" t="n">
        <v>102</v>
      </c>
      <c r="C5" s="5" t="inlineStr">
        <is>
          <t>3B</t>
        </is>
      </c>
      <c r="D5" s="6" t="n">
        <v>1541.88</v>
      </c>
      <c r="E5" s="6" t="n">
        <v>1472.18</v>
      </c>
      <c r="F5" s="6" t="n">
        <v>1151.48</v>
      </c>
      <c r="G5" s="6" t="n">
        <v>2947.8</v>
      </c>
      <c r="H5" s="6" t="n">
        <v>0</v>
      </c>
      <c r="I5" s="7">
        <f>SUM(D5:H5)</f>
        <v/>
      </c>
    </row>
    <row r="6">
      <c r="A6" s="5" t="n">
        <v>3</v>
      </c>
      <c r="B6" s="5" t="n">
        <v>103</v>
      </c>
      <c r="C6" s="5" t="inlineStr">
        <is>
          <t>1C</t>
        </is>
      </c>
      <c r="D6" s="6" t="n">
        <v>1353.15</v>
      </c>
      <c r="E6" s="6" t="n">
        <v>1116.39</v>
      </c>
      <c r="F6" s="6" t="n">
        <v>848.39</v>
      </c>
      <c r="G6" s="6" t="n">
        <v>3659.1</v>
      </c>
      <c r="H6" s="6" t="n">
        <v>0</v>
      </c>
      <c r="I6" s="7">
        <f>SUM(D6:H6)</f>
        <v/>
      </c>
    </row>
    <row r="7">
      <c r="A7" s="5" t="n">
        <v>4</v>
      </c>
      <c r="B7" s="5" t="n">
        <v>104</v>
      </c>
      <c r="C7" s="5" t="inlineStr">
        <is>
          <t>2A</t>
        </is>
      </c>
      <c r="D7" s="6" t="n">
        <v>1115.92</v>
      </c>
      <c r="E7" s="6" t="n">
        <v>1209.36</v>
      </c>
      <c r="F7" s="6" t="n">
        <v>1042.45</v>
      </c>
      <c r="G7" s="6" t="n">
        <v>3726.4</v>
      </c>
      <c r="H7" s="6" t="n">
        <v>0</v>
      </c>
      <c r="I7" s="7">
        <f>SUM(D7:H7)</f>
        <v/>
      </c>
    </row>
    <row r="8">
      <c r="A8" s="5" t="n">
        <v>5</v>
      </c>
      <c r="B8" s="5" t="n">
        <v>105</v>
      </c>
      <c r="C8" s="5" t="inlineStr">
        <is>
          <t>3B</t>
        </is>
      </c>
      <c r="D8" s="6" t="n">
        <v>1232.26</v>
      </c>
      <c r="E8" s="6" t="n">
        <v>1424.1</v>
      </c>
      <c r="F8" s="6" t="n">
        <v>1114.24</v>
      </c>
      <c r="G8" s="6" t="n">
        <v>2811.05</v>
      </c>
      <c r="H8" s="6" t="n">
        <v>0</v>
      </c>
      <c r="I8" s="7">
        <f>SUM(D8:H8)</f>
        <v/>
      </c>
    </row>
    <row r="9">
      <c r="A9" s="5" t="n">
        <v>6</v>
      </c>
      <c r="B9" s="5" t="n">
        <v>106</v>
      </c>
      <c r="C9" s="5" t="inlineStr">
        <is>
          <t>1C</t>
        </is>
      </c>
      <c r="D9" s="6" t="n">
        <v>1583.49</v>
      </c>
      <c r="E9" s="6" t="n">
        <v>1483.98</v>
      </c>
      <c r="F9" s="6" t="n">
        <v>903.11</v>
      </c>
      <c r="G9" s="6" t="n">
        <v>3064.32</v>
      </c>
      <c r="H9" s="6" t="n">
        <v>0</v>
      </c>
      <c r="I9" s="7">
        <f>SUM(D9:H9)</f>
        <v/>
      </c>
    </row>
    <row r="10">
      <c r="A10" s="5" t="n">
        <v>7</v>
      </c>
      <c r="B10" s="5" t="n">
        <v>107</v>
      </c>
      <c r="C10" s="5" t="inlineStr">
        <is>
          <t>2A</t>
        </is>
      </c>
      <c r="D10" s="6" t="n">
        <v>1674.33</v>
      </c>
      <c r="E10" s="6" t="n">
        <v>1285.13</v>
      </c>
      <c r="F10" s="6" t="n">
        <v>791.74</v>
      </c>
      <c r="G10" s="6" t="n">
        <v>2964.42</v>
      </c>
      <c r="H10" s="6" t="n">
        <v>0</v>
      </c>
      <c r="I10" s="7">
        <f>SUM(D10:H10)</f>
        <v/>
      </c>
    </row>
    <row r="11">
      <c r="A11" s="5" t="n">
        <v>8</v>
      </c>
      <c r="B11" s="5" t="n">
        <v>108</v>
      </c>
      <c r="C11" s="5" t="inlineStr">
        <is>
          <t>3C</t>
        </is>
      </c>
      <c r="D11" s="6" t="n">
        <v>1608.5</v>
      </c>
      <c r="E11" s="6" t="n">
        <v>1432.05</v>
      </c>
      <c r="F11" s="6" t="n">
        <v>1113.21</v>
      </c>
      <c r="G11" s="6" t="n">
        <v>4040.54</v>
      </c>
      <c r="H11" s="6" t="n">
        <v>0</v>
      </c>
      <c r="I11" s="7">
        <f>SUM(D11:H11)</f>
        <v/>
      </c>
    </row>
    <row r="12">
      <c r="A12" s="5" t="n">
        <v>9</v>
      </c>
      <c r="B12" s="5" t="n">
        <v>109</v>
      </c>
      <c r="C12" s="5" t="inlineStr">
        <is>
          <t>1B</t>
        </is>
      </c>
      <c r="D12" s="6" t="n">
        <v>1421.74</v>
      </c>
      <c r="E12" s="6" t="n">
        <v>1635.21</v>
      </c>
      <c r="F12" s="6" t="n">
        <v>920.34</v>
      </c>
      <c r="G12" s="6" t="n">
        <v>3738.47</v>
      </c>
      <c r="H12" s="6" t="n">
        <v>0</v>
      </c>
      <c r="I12" s="7">
        <f>SUM(D12:H12)</f>
        <v/>
      </c>
    </row>
    <row r="13">
      <c r="A13" s="5" t="n">
        <v>10</v>
      </c>
      <c r="B13" s="5" t="n">
        <v>110</v>
      </c>
      <c r="C13" s="5" t="inlineStr">
        <is>
          <t>2C</t>
        </is>
      </c>
      <c r="D13" s="6" t="n">
        <v>1597.64</v>
      </c>
      <c r="E13" s="6" t="n">
        <v>1440.19</v>
      </c>
      <c r="F13" s="6" t="n">
        <v>1137.77</v>
      </c>
      <c r="G13" s="6" t="n">
        <v>3781.5</v>
      </c>
      <c r="H13" s="6" t="n">
        <v>0</v>
      </c>
      <c r="I13" s="7">
        <f>SUM(D13:H13)</f>
        <v/>
      </c>
    </row>
    <row r="14">
      <c r="I14" s="8" t="n"/>
    </row>
    <row r="15">
      <c r="H15" s="1" t="inlineStr">
        <is>
          <t>TOTAL</t>
        </is>
      </c>
      <c r="I15" s="9">
        <f>SUM(I4:I13)</f>
        <v/>
      </c>
    </row>
    <row r="18">
      <c r="D18" s="5" t="inlineStr">
        <is>
          <t>LABOR:</t>
        </is>
      </c>
      <c r="E18" s="6">
        <f>I15*0.43</f>
        <v/>
      </c>
      <c r="G18" s="5" t="inlineStr">
        <is>
          <t>Will be 43% of total amount</t>
        </is>
      </c>
    </row>
    <row r="20">
      <c r="D20" s="5" t="inlineStr">
        <is>
          <t>MATERIAL:</t>
        </is>
      </c>
      <c r="E20" s="6">
        <f>I15*0.28</f>
        <v/>
      </c>
      <c r="G20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50</v>
      </c>
    </row>
    <row r="3">
      <c r="A3" s="5" t="inlineStr">
        <is>
          <t>Rows Parsed:</t>
        </is>
      </c>
      <c r="B3" s="5" t="n">
        <v>50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EXT PRIME</t>
        </is>
      </c>
      <c r="B7" s="5" t="n">
        <v>10</v>
      </c>
    </row>
    <row r="8">
      <c r="A8" s="5" t="inlineStr">
        <is>
          <t>EXTERIOR</t>
        </is>
      </c>
      <c r="B8" s="5" t="n">
        <v>10</v>
      </c>
    </row>
    <row r="9">
      <c r="A9" s="5" t="inlineStr">
        <is>
          <t>EXTERIOR UA</t>
        </is>
      </c>
      <c r="B9" s="5" t="n">
        <v>10</v>
      </c>
    </row>
    <row r="10">
      <c r="A10" s="5" t="inlineStr">
        <is>
          <t>INT KITCHEN, BATH &amp; LIDS</t>
        </is>
      </c>
      <c r="B10" s="5" t="n">
        <v>10</v>
      </c>
      <c r="C10" s="5" t="inlineStr">
        <is>
          <t>(auto-created)</t>
        </is>
      </c>
    </row>
    <row r="11">
      <c r="A11" s="5" t="inlineStr">
        <is>
          <t>INTERIOR</t>
        </is>
      </c>
      <c r="B11" s="5" t="n">
        <v>10</v>
      </c>
    </row>
    <row r="13">
      <c r="A13" s="1" t="inlineStr">
        <is>
          <t>Auto-Created Categories</t>
        </is>
      </c>
    </row>
    <row r="14">
      <c r="A14" s="5" t="inlineStr">
        <is>
          <t>INT KITCHEN, BATH &amp; LIDS</t>
        </is>
      </c>
      <c r="B14" s="5" t="inlineStr">
        <is>
          <t>10 rows</t>
        </is>
      </c>
    </row>
    <row r="15">
      <c r="B15" s="5" t="inlineStr">
        <is>
          <t xml:space="preserve">  - Painting - Kitchen, Bath &amp; Lids (INT) [LS]...</t>
        </is>
      </c>
    </row>
    <row r="16">
      <c r="B16" s="5" t="inlineStr">
        <is>
          <t xml:space="preserve">  - Painting - Kitchen, Bath &amp; Lids (INT) [LS]...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2026-02-07T01:46:15Z</dcterms:created>
  <dcterms:modified xsi:type="dcterms:W3CDTF">2026-02-07T01:46:15Z</dcterms:modified>
</cp:coreProperties>
</file>