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8" customWidth="1" min="9" max="9"/>
    <col width="12" customWidth="1" min="10" max="10"/>
    <col width="13" customWidth="1" min="11" max="11"/>
    <col width="12" customWidth="1" min="12" max="12"/>
    <col width="12" customWidth="1" min="13" max="13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BASE SHOE</t>
        </is>
      </c>
      <c r="I3" s="3" t="inlineStr">
        <is>
          <t>ROLL WALLS FINAL</t>
        </is>
      </c>
      <c r="J3" s="3" t="inlineStr">
        <is>
          <t>TOUCH UP</t>
        </is>
      </c>
      <c r="K3" s="3" t="inlineStr">
        <is>
          <t>Q4 REVERSAL</t>
        </is>
      </c>
      <c r="L3" s="3" t="inlineStr">
        <is>
          <t>TASK</t>
        </is>
      </c>
      <c r="M3" s="4" t="inlineStr">
        <is>
          <t>Total</t>
        </is>
      </c>
    </row>
    <row r="4">
      <c r="A4" s="5" t="n">
        <v>1</v>
      </c>
      <c r="B4" s="5" t="inlineStr">
        <is>
          <t>Lot/Block</t>
        </is>
      </c>
      <c r="C4" s="5" t="inlineStr">
        <is>
          <t>PlanElevation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7">
        <f>SUM(D4:L4)</f>
        <v/>
      </c>
    </row>
    <row r="5">
      <c r="A5" s="5" t="n">
        <v>2</v>
      </c>
      <c r="B5" s="5" t="inlineStr">
        <is>
          <t>150/MAP NO 16534</t>
        </is>
      </c>
      <c r="C5" s="5" t="inlineStr">
        <is>
          <t>3C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207.45</v>
      </c>
      <c r="I5" s="6" t="n">
        <v>0</v>
      </c>
      <c r="J5" s="6" t="n">
        <v>0</v>
      </c>
      <c r="K5" s="6" t="n">
        <v>0</v>
      </c>
      <c r="L5" s="6" t="n">
        <v>0</v>
      </c>
      <c r="M5" s="7">
        <f>SUM(D5:L5)</f>
        <v/>
      </c>
    </row>
    <row r="6">
      <c r="A6" s="5" t="n">
        <v>3</v>
      </c>
      <c r="B6" s="5" t="inlineStr">
        <is>
          <t>BD80/MAP NO 16534</t>
        </is>
      </c>
      <c r="C6" s="5" t="inlineStr">
        <is>
          <t>B00DC</t>
        </is>
      </c>
      <c r="D6" s="6" t="n">
        <v>0</v>
      </c>
      <c r="E6" s="6" t="n">
        <v>2501.25</v>
      </c>
      <c r="F6" s="6" t="n">
        <v>0</v>
      </c>
      <c r="G6" s="6" t="n">
        <v>3611.5</v>
      </c>
      <c r="H6" s="6" t="n">
        <v>0</v>
      </c>
      <c r="I6" s="6" t="n">
        <v>1500.75</v>
      </c>
      <c r="J6" s="6" t="n">
        <v>500.25</v>
      </c>
      <c r="K6" s="6" t="n">
        <v>0</v>
      </c>
      <c r="L6" s="6" t="n">
        <v>0</v>
      </c>
      <c r="M6" s="7">
        <f>SUM(D6:L6)</f>
        <v/>
      </c>
    </row>
    <row r="7">
      <c r="A7" s="5" t="n">
        <v>4</v>
      </c>
      <c r="B7" s="5" t="inlineStr">
        <is>
          <t>151/MAP NO 16534</t>
        </is>
      </c>
      <c r="C7" s="5" t="inlineStr">
        <is>
          <t>4C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372.15</v>
      </c>
      <c r="I7" s="6" t="n">
        <v>0</v>
      </c>
      <c r="J7" s="6" t="n">
        <v>0</v>
      </c>
      <c r="K7" s="6" t="n">
        <v>0</v>
      </c>
      <c r="L7" s="6" t="n">
        <v>0</v>
      </c>
      <c r="M7" s="7">
        <f>SUM(D7:L7)</f>
        <v/>
      </c>
    </row>
    <row r="8">
      <c r="A8" s="5" t="n">
        <v>5</v>
      </c>
      <c r="B8" s="5" t="inlineStr">
        <is>
          <t>151/MAP NO 16534</t>
        </is>
      </c>
      <c r="C8" s="5" t="inlineStr">
        <is>
          <t>5C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372.15</v>
      </c>
      <c r="I8" s="6" t="n">
        <v>0</v>
      </c>
      <c r="J8" s="6" t="n">
        <v>0</v>
      </c>
      <c r="K8" s="6" t="n">
        <v>0</v>
      </c>
      <c r="L8" s="6" t="n">
        <v>0</v>
      </c>
      <c r="M8" s="7">
        <f>SUM(D8:L8)</f>
        <v/>
      </c>
    </row>
    <row r="9">
      <c r="A9" s="5" t="n">
        <v>6</v>
      </c>
      <c r="B9" s="5" t="inlineStr">
        <is>
          <t>111/MAP NO 166534</t>
        </is>
      </c>
      <c r="C9" s="5" t="inlineStr">
        <is>
          <t>6C</t>
        </is>
      </c>
      <c r="D9" s="6" t="n">
        <v>0</v>
      </c>
      <c r="E9" s="6" t="n">
        <v>0</v>
      </c>
      <c r="F9" s="6" t="n">
        <v>0</v>
      </c>
      <c r="G9" s="6" t="n">
        <v>372.15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7">
        <f>SUM(D9:L9)</f>
        <v/>
      </c>
    </row>
    <row r="10">
      <c r="A10" s="5" t="n">
        <v>7</v>
      </c>
      <c r="B10" s="5" t="inlineStr">
        <is>
          <t>131/MAP NO 17534</t>
        </is>
      </c>
      <c r="C10" s="5" t="inlineStr">
        <is>
          <t>5C</t>
        </is>
      </c>
      <c r="D10" s="6" t="n">
        <v>0</v>
      </c>
      <c r="E10" s="6" t="n">
        <v>0</v>
      </c>
      <c r="F10" s="6" t="n">
        <v>0</v>
      </c>
      <c r="G10" s="6" t="n">
        <v>372.15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7">
        <f>SUM(D10:L10)</f>
        <v/>
      </c>
    </row>
    <row r="11">
      <c r="A11" s="5" t="n">
        <v>8</v>
      </c>
      <c r="B11" s="5" t="inlineStr">
        <is>
          <t>1521/MAP NO 16536</t>
        </is>
      </c>
      <c r="C11" s="5" t="inlineStr">
        <is>
          <t>8C</t>
        </is>
      </c>
      <c r="D11" s="6" t="n">
        <v>0</v>
      </c>
      <c r="E11" s="6" t="n">
        <v>0</v>
      </c>
      <c r="F11" s="6" t="n">
        <v>0</v>
      </c>
      <c r="G11" s="6" t="n">
        <v>372.15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7">
        <f>SUM(D11:L11)</f>
        <v/>
      </c>
    </row>
    <row r="12">
      <c r="M12" s="8" t="n"/>
    </row>
    <row r="13">
      <c r="L13" s="1" t="inlineStr">
        <is>
          <t>TOTAL</t>
        </is>
      </c>
      <c r="M13" s="9">
        <f>SUM(M4:M11)</f>
        <v/>
      </c>
    </row>
    <row r="16">
      <c r="D16" s="5" t="inlineStr">
        <is>
          <t>LABOR:</t>
        </is>
      </c>
      <c r="E16" s="6">
        <f>M13*0.43</f>
        <v/>
      </c>
      <c r="G16" s="5" t="inlineStr">
        <is>
          <t>Will be 43% of total amount</t>
        </is>
      </c>
    </row>
    <row r="18">
      <c r="D18" s="5" t="inlineStr">
        <is>
          <t>MATERIAL:</t>
        </is>
      </c>
      <c r="E18" s="6">
        <f>M13*0.28</f>
        <v/>
      </c>
      <c r="G18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15</v>
      </c>
    </row>
    <row r="3">
      <c r="A3" s="5" t="inlineStr">
        <is>
          <t>Rows Parsed:</t>
        </is>
      </c>
      <c r="B3" s="5" t="n">
        <v>15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5</v>
      </c>
    </row>
    <row r="8">
      <c r="A8" s="5" t="inlineStr">
        <is>
          <t>EXTERIOR</t>
        </is>
      </c>
      <c r="B8" s="5" t="n">
        <v>2</v>
      </c>
    </row>
    <row r="9">
      <c r="A9" s="5" t="inlineStr">
        <is>
          <t>INTERIOR</t>
        </is>
      </c>
      <c r="B9" s="5" t="n">
        <v>5</v>
      </c>
    </row>
    <row r="10">
      <c r="A10" s="5" t="inlineStr">
        <is>
          <t>ROLL WALLS FINAL</t>
        </is>
      </c>
      <c r="B10" s="5" t="n">
        <v>1</v>
      </c>
    </row>
    <row r="11">
      <c r="A11" s="5" t="inlineStr">
        <is>
          <t>TASK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TOUCH UP</t>
        </is>
      </c>
      <c r="B12" s="5" t="n">
        <v>1</v>
      </c>
    </row>
    <row r="14">
      <c r="A14" s="1" t="inlineStr">
        <is>
          <t>Auto-Created Categories</t>
        </is>
      </c>
    </row>
    <row r="15">
      <c r="A15" s="5" t="inlineStr">
        <is>
          <t>TASK</t>
        </is>
      </c>
      <c r="B15" s="5" t="inlineStr">
        <is>
          <t>1 rows</t>
        </is>
      </c>
    </row>
    <row r="16">
      <c r="B16" s="5" t="inlineStr">
        <is>
          <t xml:space="preserve">  - Task...</t>
        </is>
      </c>
    </row>
    <row r="17">
      <c r="B17" s="5" t="inlineStr">
        <is>
          <t xml:space="preserve">  - Task...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2026-02-07T01:28:29Z</dcterms:created>
  <dcterms:modified xsi:type="dcterms:W3CDTF">2026-02-07T01:28:29Z</dcterms:modified>
</cp:coreProperties>
</file>