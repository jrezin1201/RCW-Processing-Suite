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QA Repo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_($* #,##0.00_);_($* (#,##0.00);_($* &quot;-&quot;??_);_(@_)"/>
  </numFmts>
  <fonts count="3">
    <font>
      <name val="Calibri"/>
      <family val="2"/>
      <color theme="1"/>
      <sz val="11"/>
      <scheme val="minor"/>
    </font>
    <font>
      <b val="1"/>
      <sz val="16"/>
    </font>
    <font>
      <sz val="16"/>
    </font>
  </fonts>
  <fills count="5">
    <fill>
      <patternFill/>
    </fill>
    <fill>
      <patternFill patternType="gray125"/>
    </fill>
    <fill>
      <patternFill patternType="solid">
        <fgColor rgb="00E0F2F7"/>
        <bgColor rgb="00E0F2F7"/>
      </patternFill>
    </fill>
    <fill>
      <patternFill patternType="solid">
        <fgColor rgb="00F0F0F0"/>
        <bgColor rgb="00F0F0F0"/>
      </patternFill>
    </fill>
    <fill>
      <patternFill patternType="solid">
        <fgColor rgb="00FFFF00"/>
        <bgColor rgb="00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1" fillId="2" borderId="0" pivotButton="0" quotePrefix="0" xfId="0"/>
    <xf numFmtId="0" fontId="1" fillId="3" borderId="0" applyAlignment="1" pivotButton="0" quotePrefix="0" xfId="0">
      <alignment horizontal="center" vertical="center"/>
    </xf>
    <xf numFmtId="0" fontId="1" fillId="4" borderId="0" applyAlignment="1" pivotButton="0" quotePrefix="0" xfId="0">
      <alignment horizontal="center" vertical="center"/>
    </xf>
    <xf numFmtId="0" fontId="2" fillId="0" borderId="0" pivotButton="0" quotePrefix="0" xfId="0"/>
    <xf numFmtId="164" fontId="2" fillId="0" borderId="0" pivotButton="0" quotePrefix="0" xfId="0"/>
    <xf numFmtId="164" fontId="2" fillId="4" borderId="0" pivotButton="0" quotePrefix="0" xfId="0"/>
    <xf numFmtId="0" fontId="0" fillId="4" borderId="0" pivotButton="0" quotePrefix="0" xfId="0"/>
    <xf numFmtId="164" fontId="1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9"/>
  <sheetViews>
    <sheetView workbookViewId="0">
      <selection activeCell="A1" sqref="A1"/>
    </sheetView>
  </sheetViews>
  <sheetFormatPr baseColWidth="8" defaultRowHeight="15"/>
  <cols>
    <col width="4" customWidth="1" min="1" max="1"/>
    <col width="7" customWidth="1" min="2" max="2"/>
    <col width="7" customWidth="1" min="3" max="3"/>
    <col width="12" customWidth="1" min="4" max="4"/>
    <col width="12" customWidth="1" min="5" max="5"/>
    <col width="14" customWidth="1" min="6" max="6"/>
    <col width="14" customWidth="1" min="7" max="7"/>
    <col width="14" customWidth="1" min="8" max="8"/>
    <col width="14" customWidth="1" min="9" max="9"/>
    <col width="13" customWidth="1" min="10" max="10"/>
    <col width="17" customWidth="1" min="11" max="11"/>
    <col width="17" customWidth="1" min="12" max="12"/>
    <col width="12" customWidth="1" min="13" max="13"/>
    <col width="14" customWidth="1" min="14" max="14"/>
    <col width="14" customWidth="1" min="15" max="15"/>
    <col width="20" customWidth="1" min="16" max="16"/>
    <col width="12" customWidth="1" min="17" max="17"/>
  </cols>
  <sheetData>
    <row r="1">
      <c r="B1" s="1" t="inlineStr">
        <is>
          <t>Project Name: Arches</t>
        </is>
      </c>
      <c r="G1" s="1" t="inlineStr">
        <is>
          <t>Phase:7</t>
        </is>
      </c>
      <c r="H1" s="2" t="inlineStr">
        <is>
          <t>HS 0044-0049, 0144-0142 (NOV)</t>
        </is>
      </c>
      <c r="I1" s="1" t="inlineStr">
        <is>
          <t>Job #:</t>
        </is>
      </c>
    </row>
    <row r="3">
      <c r="A3" t="inlineStr"/>
      <c r="B3" s="3" t="inlineStr">
        <is>
          <t>LOT</t>
        </is>
      </c>
      <c r="C3" s="3" t="inlineStr">
        <is>
          <t>PLAN</t>
        </is>
      </c>
      <c r="D3" s="3" t="inlineStr">
        <is>
          <t>EXT PRIME</t>
        </is>
      </c>
      <c r="E3" s="3" t="inlineStr">
        <is>
          <t>EXTERIOR</t>
        </is>
      </c>
      <c r="F3" s="3" t="inlineStr">
        <is>
          <t>EXTERIOR (2)</t>
        </is>
      </c>
      <c r="G3" s="3" t="inlineStr">
        <is>
          <t>EXTERIOR (3)</t>
        </is>
      </c>
      <c r="H3" s="3" t="inlineStr">
        <is>
          <t>EXTERIOR (4)</t>
        </is>
      </c>
      <c r="I3" s="3" t="inlineStr">
        <is>
          <t>EXTERIOR (5)</t>
        </is>
      </c>
      <c r="J3" s="3" t="inlineStr">
        <is>
          <t>EXTERIOR UA</t>
        </is>
      </c>
      <c r="K3" s="3" t="inlineStr">
        <is>
          <t>EXTERIOR UA (2)</t>
        </is>
      </c>
      <c r="L3" s="3" t="inlineStr">
        <is>
          <t>EXTERIOR UA (3)</t>
        </is>
      </c>
      <c r="M3" s="3" t="inlineStr">
        <is>
          <t>INTERIOR</t>
        </is>
      </c>
      <c r="N3" s="3" t="inlineStr">
        <is>
          <t>INTERIOR (2)</t>
        </is>
      </c>
      <c r="O3" s="3" t="inlineStr">
        <is>
          <t>INTERIOR (3)</t>
        </is>
      </c>
      <c r="P3" s="3" t="inlineStr">
        <is>
          <t>INT KITCHEN, BATH &amp; LIDS</t>
        </is>
      </c>
      <c r="Q3" s="4" t="inlineStr">
        <is>
          <t>Total</t>
        </is>
      </c>
    </row>
    <row r="4">
      <c r="A4" s="5" t="n">
        <v>1</v>
      </c>
      <c r="B4" s="5" t="n">
        <v>44</v>
      </c>
      <c r="C4" s="5" t="inlineStr">
        <is>
          <t>2B</t>
        </is>
      </c>
      <c r="D4" s="6" t="n">
        <v>1341.75</v>
      </c>
      <c r="E4" s="6" t="n">
        <v>1308.74</v>
      </c>
      <c r="F4" s="6" t="n">
        <v>1308.74</v>
      </c>
      <c r="G4" s="6" t="n">
        <v>1308.74</v>
      </c>
      <c r="H4" s="6" t="n">
        <v>1308.74</v>
      </c>
      <c r="I4" s="6" t="n">
        <v>697000</v>
      </c>
      <c r="J4" s="6" t="n">
        <v>927.5</v>
      </c>
      <c r="K4" s="6" t="n">
        <v>927.5</v>
      </c>
      <c r="L4" s="6" t="n">
        <v>927.5</v>
      </c>
      <c r="M4" s="6" t="n">
        <v>3577.99</v>
      </c>
      <c r="N4" s="6" t="n">
        <v>0</v>
      </c>
      <c r="O4" s="6" t="n">
        <v>0</v>
      </c>
      <c r="P4" s="6" t="n">
        <v>0</v>
      </c>
      <c r="Q4" s="7">
        <f>SUM(D4:P4)</f>
        <v/>
      </c>
    </row>
    <row r="5">
      <c r="A5" s="5" t="n">
        <v>2</v>
      </c>
      <c r="B5" s="5" t="n">
        <v>45</v>
      </c>
      <c r="C5" s="5" t="inlineStr">
        <is>
          <t>3A</t>
        </is>
      </c>
      <c r="D5" s="6" t="n">
        <v>1543.5</v>
      </c>
      <c r="E5" s="6" t="n">
        <v>1516.49</v>
      </c>
      <c r="F5" s="6" t="n">
        <v>0</v>
      </c>
      <c r="G5" s="6" t="n">
        <v>0</v>
      </c>
      <c r="H5" s="6" t="n">
        <v>0</v>
      </c>
      <c r="I5" s="6" t="n">
        <v>0</v>
      </c>
      <c r="J5" s="6" t="n">
        <v>1056</v>
      </c>
      <c r="K5" s="6" t="n">
        <v>0</v>
      </c>
      <c r="L5" s="6" t="n">
        <v>0</v>
      </c>
      <c r="M5" s="6" t="n">
        <v>4115.99</v>
      </c>
      <c r="N5" s="6" t="n">
        <v>0</v>
      </c>
      <c r="O5" s="6" t="n">
        <v>0</v>
      </c>
      <c r="P5" s="6" t="n">
        <v>0</v>
      </c>
      <c r="Q5" s="7">
        <f>SUM(D5:P5)</f>
        <v/>
      </c>
    </row>
    <row r="6">
      <c r="A6" s="5" t="n">
        <v>3</v>
      </c>
      <c r="B6" s="5" t="n">
        <v>46</v>
      </c>
      <c r="C6" s="5" t="inlineStr">
        <is>
          <t>1B</t>
        </is>
      </c>
      <c r="D6" s="6" t="n">
        <v>1197.75</v>
      </c>
      <c r="E6" s="6" t="n">
        <v>1167.75</v>
      </c>
      <c r="F6" s="6" t="n">
        <v>0</v>
      </c>
      <c r="G6" s="6" t="n">
        <v>0</v>
      </c>
      <c r="H6" s="6" t="n">
        <v>0</v>
      </c>
      <c r="I6" s="6" t="n">
        <v>0</v>
      </c>
      <c r="J6" s="6" t="n">
        <v>828.5</v>
      </c>
      <c r="K6" s="6" t="n">
        <v>0</v>
      </c>
      <c r="L6" s="6" t="n">
        <v>0</v>
      </c>
      <c r="M6" s="6" t="n">
        <v>3193.99</v>
      </c>
      <c r="N6" s="6" t="n">
        <v>0</v>
      </c>
      <c r="O6" s="6" t="n">
        <v>0</v>
      </c>
      <c r="P6" s="6" t="n">
        <v>0</v>
      </c>
      <c r="Q6" s="7">
        <f>SUM(D6:P6)</f>
        <v/>
      </c>
    </row>
    <row r="7">
      <c r="A7" s="5" t="n">
        <v>4</v>
      </c>
      <c r="B7" s="5" t="n">
        <v>47</v>
      </c>
      <c r="C7" s="5" t="inlineStr">
        <is>
          <t>2C</t>
        </is>
      </c>
      <c r="D7" s="6" t="n">
        <v>1293</v>
      </c>
      <c r="E7" s="6" t="n">
        <v>1259.99</v>
      </c>
      <c r="F7" s="6" t="n">
        <v>0</v>
      </c>
      <c r="G7" s="6" t="n">
        <v>0</v>
      </c>
      <c r="H7" s="6" t="n">
        <v>0</v>
      </c>
      <c r="I7" s="6" t="n">
        <v>0</v>
      </c>
      <c r="J7" s="6" t="n">
        <v>895</v>
      </c>
      <c r="K7" s="6" t="n">
        <v>0</v>
      </c>
      <c r="L7" s="6" t="n">
        <v>0</v>
      </c>
      <c r="M7" s="6" t="n">
        <v>3447.99</v>
      </c>
      <c r="N7" s="6" t="n">
        <v>3447.99</v>
      </c>
      <c r="O7" s="6" t="n">
        <v>69000</v>
      </c>
      <c r="P7" s="6" t="n">
        <v>0</v>
      </c>
      <c r="Q7" s="7">
        <f>SUM(D7:P7)</f>
        <v/>
      </c>
    </row>
    <row r="8">
      <c r="A8" s="5" t="n">
        <v>5</v>
      </c>
      <c r="B8" s="5" t="n">
        <v>48</v>
      </c>
      <c r="C8" s="5" t="inlineStr">
        <is>
          <t>3B</t>
        </is>
      </c>
      <c r="D8" s="6" t="n">
        <v>1602</v>
      </c>
      <c r="E8" s="6" t="n">
        <v>1575</v>
      </c>
      <c r="F8" s="6" t="n">
        <v>0</v>
      </c>
      <c r="G8" s="6" t="n">
        <v>0</v>
      </c>
      <c r="H8" s="6" t="n">
        <v>0</v>
      </c>
      <c r="I8" s="6" t="n">
        <v>0</v>
      </c>
      <c r="J8" s="6" t="n">
        <v>1095</v>
      </c>
      <c r="K8" s="6" t="n">
        <v>0</v>
      </c>
      <c r="L8" s="6" t="n">
        <v>0</v>
      </c>
      <c r="M8" s="6" t="n">
        <v>4272</v>
      </c>
      <c r="N8" s="6" t="n">
        <v>0</v>
      </c>
      <c r="O8" s="6" t="n">
        <v>0</v>
      </c>
      <c r="P8" s="6" t="n">
        <v>0</v>
      </c>
      <c r="Q8" s="7">
        <f>SUM(D8:P8)</f>
        <v/>
      </c>
    </row>
    <row r="9">
      <c r="A9" s="5" t="n">
        <v>6</v>
      </c>
      <c r="B9" s="5" t="n">
        <v>49</v>
      </c>
      <c r="C9" s="5" t="inlineStr">
        <is>
          <t>1C</t>
        </is>
      </c>
      <c r="D9" s="6" t="n">
        <v>1149</v>
      </c>
      <c r="E9" s="6" t="n">
        <v>1119</v>
      </c>
      <c r="F9" s="6" t="n">
        <v>0</v>
      </c>
      <c r="G9" s="6" t="n">
        <v>0</v>
      </c>
      <c r="H9" s="6" t="n">
        <v>0</v>
      </c>
      <c r="I9" s="6" t="n">
        <v>0</v>
      </c>
      <c r="J9" s="6" t="n">
        <v>796</v>
      </c>
      <c r="K9" s="6" t="n">
        <v>0</v>
      </c>
      <c r="L9" s="6" t="n">
        <v>0</v>
      </c>
      <c r="M9" s="6" t="n">
        <v>3064</v>
      </c>
      <c r="N9" s="6" t="n">
        <v>0</v>
      </c>
      <c r="O9" s="6" t="n">
        <v>0</v>
      </c>
      <c r="P9" s="6" t="n">
        <v>0</v>
      </c>
      <c r="Q9" s="7">
        <f>SUM(D9:P9)</f>
        <v/>
      </c>
    </row>
    <row r="10">
      <c r="A10" s="5" t="n">
        <v>7</v>
      </c>
      <c r="B10" s="5" t="n">
        <v>142</v>
      </c>
      <c r="C10" s="5" t="inlineStr">
        <is>
          <t>3A</t>
        </is>
      </c>
      <c r="D10" s="6" t="n">
        <v>1543.5</v>
      </c>
      <c r="E10" s="6" t="n">
        <v>1516.49</v>
      </c>
      <c r="F10" s="6" t="n">
        <v>0</v>
      </c>
      <c r="G10" s="6" t="n">
        <v>0</v>
      </c>
      <c r="H10" s="6" t="n">
        <v>0</v>
      </c>
      <c r="I10" s="6" t="n">
        <v>0</v>
      </c>
      <c r="J10" s="6" t="n">
        <v>1056</v>
      </c>
      <c r="K10" s="6" t="n">
        <v>0</v>
      </c>
      <c r="L10" s="6" t="n">
        <v>0</v>
      </c>
      <c r="M10" s="6" t="n">
        <v>4115.99</v>
      </c>
      <c r="N10" s="6" t="n">
        <v>0</v>
      </c>
      <c r="O10" s="6" t="n">
        <v>0</v>
      </c>
      <c r="P10" s="6" t="n">
        <v>0</v>
      </c>
      <c r="Q10" s="7">
        <f>SUM(D10:P10)</f>
        <v/>
      </c>
    </row>
    <row r="11">
      <c r="A11" s="5" t="n">
        <v>8</v>
      </c>
      <c r="B11" s="5" t="n">
        <v>143</v>
      </c>
      <c r="C11" s="5" t="inlineStr">
        <is>
          <t>2B</t>
        </is>
      </c>
      <c r="D11" s="6" t="n">
        <v>1341.75</v>
      </c>
      <c r="E11" s="6" t="n">
        <v>1308.74</v>
      </c>
      <c r="F11" s="6" t="n">
        <v>0</v>
      </c>
      <c r="G11" s="6" t="n">
        <v>0</v>
      </c>
      <c r="H11" s="6" t="n">
        <v>0</v>
      </c>
      <c r="I11" s="6" t="n">
        <v>0</v>
      </c>
      <c r="J11" s="6" t="n">
        <v>927.5</v>
      </c>
      <c r="K11" s="6" t="n">
        <v>0</v>
      </c>
      <c r="L11" s="6" t="n">
        <v>0</v>
      </c>
      <c r="M11" s="6" t="n">
        <v>3577.99</v>
      </c>
      <c r="N11" s="6" t="n">
        <v>0</v>
      </c>
      <c r="O11" s="6" t="n">
        <v>0</v>
      </c>
      <c r="P11" s="6" t="n">
        <v>0</v>
      </c>
      <c r="Q11" s="7">
        <f>SUM(D11:P11)</f>
        <v/>
      </c>
    </row>
    <row r="12">
      <c r="A12" s="5" t="n">
        <v>9</v>
      </c>
      <c r="B12" s="5" t="n">
        <v>144</v>
      </c>
      <c r="C12" s="5" t="inlineStr">
        <is>
          <t>3C</t>
        </is>
      </c>
      <c r="D12" s="6" t="n">
        <v>1580.25</v>
      </c>
      <c r="E12" s="6" t="n">
        <v>1553.24</v>
      </c>
      <c r="F12" s="6" t="n">
        <v>0</v>
      </c>
      <c r="G12" s="6" t="n">
        <v>0</v>
      </c>
      <c r="H12" s="6" t="n">
        <v>0</v>
      </c>
      <c r="I12" s="6" t="n">
        <v>0</v>
      </c>
      <c r="J12" s="6" t="n">
        <v>1080.5</v>
      </c>
      <c r="K12" s="6" t="n">
        <v>0</v>
      </c>
      <c r="L12" s="6" t="n">
        <v>0</v>
      </c>
      <c r="M12" s="6" t="n">
        <v>4213.99</v>
      </c>
      <c r="N12" s="6" t="n">
        <v>0</v>
      </c>
      <c r="O12" s="6" t="n">
        <v>0</v>
      </c>
      <c r="P12" s="6" t="n">
        <v>0</v>
      </c>
      <c r="Q12" s="7">
        <f>SUM(D12:P12)</f>
        <v/>
      </c>
    </row>
    <row r="13">
      <c r="Q13" s="8" t="n"/>
    </row>
    <row r="14">
      <c r="P14" s="1" t="inlineStr">
        <is>
          <t>TOTAL</t>
        </is>
      </c>
      <c r="Q14" s="9">
        <f>SUM(Q4:Q12)</f>
        <v/>
      </c>
    </row>
    <row r="17">
      <c r="D17" s="5" t="inlineStr">
        <is>
          <t>LABOR:</t>
        </is>
      </c>
      <c r="E17" s="6">
        <f>Q14*0.43</f>
        <v/>
      </c>
      <c r="G17" s="5" t="inlineStr">
        <is>
          <t>Will be 43% of total amount</t>
        </is>
      </c>
    </row>
    <row r="19">
      <c r="D19" s="5" t="inlineStr">
        <is>
          <t>MATERIAL:</t>
        </is>
      </c>
      <c r="E19" s="6">
        <f>Q14*0.28</f>
        <v/>
      </c>
      <c r="G19" s="5" t="inlineStr">
        <is>
          <t>will be 28% of total amount</t>
        </is>
      </c>
    </row>
  </sheetData>
  <mergeCells count="1">
    <mergeCell ref="B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40" customWidth="1" min="1" max="1"/>
    <col width="15" customWidth="1" min="2" max="2"/>
    <col width="15" customWidth="1" min="3" max="3"/>
    <col width="30" customWidth="1" min="4" max="4"/>
  </cols>
  <sheetData>
    <row r="1">
      <c r="A1" s="1" t="inlineStr">
        <is>
          <t>Parsing Statistics</t>
        </is>
      </c>
    </row>
    <row r="2">
      <c r="A2" s="5" t="inlineStr">
        <is>
          <t>Total Rows Seen:</t>
        </is>
      </c>
      <c r="B2" s="5" t="n">
        <v>53</v>
      </c>
    </row>
    <row r="3">
      <c r="A3" s="5" t="inlineStr">
        <is>
          <t>Rows Parsed:</t>
        </is>
      </c>
      <c r="B3" s="5" t="n">
        <v>53</v>
      </c>
    </row>
    <row r="4">
      <c r="A4" s="5" t="inlineStr">
        <is>
          <t>Rows Skipped (Missing Fields):</t>
        </is>
      </c>
      <c r="B4" s="5" t="n">
        <v>0</v>
      </c>
    </row>
    <row r="6">
      <c r="A6" s="1" t="inlineStr">
        <is>
          <t>Counts Per Category</t>
        </is>
      </c>
    </row>
    <row r="7">
      <c r="A7" s="5" t="inlineStr">
        <is>
          <t>EXT PRIME</t>
        </is>
      </c>
      <c r="B7" s="5" t="n">
        <v>9</v>
      </c>
    </row>
    <row r="8">
      <c r="A8" s="5" t="inlineStr">
        <is>
          <t>EXTERIOR</t>
        </is>
      </c>
      <c r="B8" s="5" t="n">
        <v>13</v>
      </c>
    </row>
    <row r="9">
      <c r="A9" s="5" t="inlineStr">
        <is>
          <t>EXTERIOR UA</t>
        </is>
      </c>
      <c r="B9" s="5" t="n">
        <v>11</v>
      </c>
    </row>
    <row r="10">
      <c r="A10" s="5" t="inlineStr">
        <is>
          <t>INT KITCHEN, BATH &amp; LIDS</t>
        </is>
      </c>
      <c r="B10" s="5" t="n">
        <v>9</v>
      </c>
      <c r="C10" s="5" t="inlineStr">
        <is>
          <t>(auto-created)</t>
        </is>
      </c>
    </row>
    <row r="11">
      <c r="A11" s="5" t="inlineStr">
        <is>
          <t>INTERIOR</t>
        </is>
      </c>
      <c r="B11" s="5" t="n">
        <v>11</v>
      </c>
    </row>
    <row r="13">
      <c r="A13" s="1" t="inlineStr">
        <is>
          <t>Auto-Created Categories</t>
        </is>
      </c>
    </row>
    <row r="14">
      <c r="A14" s="5" t="inlineStr">
        <is>
          <t>INT KITCHEN, BATH &amp; LIDS</t>
        </is>
      </c>
      <c r="B14" s="5" t="inlineStr">
        <is>
          <t>9 rows</t>
        </is>
      </c>
    </row>
    <row r="15">
      <c r="B15" s="5" t="inlineStr">
        <is>
          <t xml:space="preserve">  - Painting - Kitchen, Bath &amp; Lids (INT) [LS]...</t>
        </is>
      </c>
    </row>
    <row r="16">
      <c r="B16" s="5" t="inlineStr">
        <is>
          <t xml:space="preserve">  - Painting - Kitchen, Bath &amp; Lids (INT) [LS]...</t>
        </is>
      </c>
    </row>
    <row r="18">
      <c r="A18" s="1" t="inlineStr">
        <is>
          <t>Suspicious Totals</t>
        </is>
      </c>
    </row>
    <row r="19">
      <c r="A19" s="5" t="inlineStr">
        <is>
          <t>Lot 44</t>
        </is>
      </c>
      <c r="B19" s="5" t="inlineStr">
        <is>
          <t>Plan 2B</t>
        </is>
      </c>
      <c r="C19" s="6" t="n">
        <v>709937.2</v>
      </c>
      <c r="D19" s="5" t="inlineStr">
        <is>
          <t>Unusually high total (&gt; $100k)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2026-04-22T22:27:40Z</dcterms:created>
  <dcterms:modified xsi:type="dcterms:W3CDTF">2026-04-22T22:27:40Z</dcterms:modified>
</cp:coreProperties>
</file>