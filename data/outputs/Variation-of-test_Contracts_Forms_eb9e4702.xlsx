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2" customWidth="1" min="15" max="15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EXTERIOR</t>
        </is>
      </c>
      <c r="E3" s="3" t="inlineStr">
        <is>
          <t>BASE SHOE</t>
        </is>
      </c>
      <c r="F3" s="3" t="inlineStr">
        <is>
          <t>ROLL WALLS FINAL</t>
        </is>
      </c>
      <c r="G3" s="3" t="inlineStr">
        <is>
          <t>TOUCH UP</t>
        </is>
      </c>
      <c r="H3" s="3" t="inlineStr">
        <is>
          <t>INT KS &amp; BS / CEILINGS / WALLS</t>
        </is>
      </c>
      <c r="I3" s="3" t="inlineStr">
        <is>
          <t>EXT SPRAY OVERHANG</t>
        </is>
      </c>
      <c r="J3" s="3" t="inlineStr">
        <is>
          <t>INT UNDERCOAT / SAND &amp; CHECK</t>
        </is>
      </c>
      <c r="K3" s="3" t="inlineStr">
        <is>
          <t>INT SHOE BOARD (FLOORING ORDERS)</t>
        </is>
      </c>
      <c r="L3" s="3" t="inlineStr">
        <is>
          <t>INT ROOF TOP (FLOORING ORDERS)</t>
        </is>
      </c>
      <c r="M3" s="3" t="inlineStr">
        <is>
          <t>INT PLAYGROUND (FLOORING ORDERS)</t>
        </is>
      </c>
      <c r="N3" s="3" t="inlineStr">
        <is>
          <t>INT GROUND FLOOR (FLOORING ORDERS)</t>
        </is>
      </c>
      <c r="O3" s="4" t="inlineStr">
        <is>
          <t>Total</t>
        </is>
      </c>
    </row>
    <row r="4">
      <c r="A4" s="5" t="n">
        <v>1</v>
      </c>
      <c r="B4" s="5" t="inlineStr">
        <is>
          <t>150/MAP NO 16534</t>
        </is>
      </c>
      <c r="C4" s="5" t="inlineStr">
        <is>
          <t>3C</t>
        </is>
      </c>
      <c r="D4" s="6" t="n">
        <v>0</v>
      </c>
      <c r="E4" s="6" t="n">
        <v>207.45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2770</v>
      </c>
      <c r="O4" s="7">
        <f>SUM(D4:N4)</f>
        <v/>
      </c>
    </row>
    <row r="5">
      <c r="A5" s="5" t="n">
        <v>2</v>
      </c>
      <c r="B5" s="5" t="inlineStr">
        <is>
          <t>BD80/MAP NO 16534</t>
        </is>
      </c>
      <c r="C5" s="5" t="inlineStr">
        <is>
          <t>B00DC</t>
        </is>
      </c>
      <c r="D5" s="6" t="n">
        <v>2501.25</v>
      </c>
      <c r="E5" s="6" t="n">
        <v>0</v>
      </c>
      <c r="F5" s="6" t="n">
        <v>1500.75</v>
      </c>
      <c r="G5" s="6" t="n">
        <v>500.25</v>
      </c>
      <c r="H5" s="6" t="n">
        <v>0</v>
      </c>
      <c r="I5" s="6" t="n">
        <v>0</v>
      </c>
      <c r="J5" s="6" t="n">
        <v>3611.5</v>
      </c>
      <c r="K5" s="6" t="n">
        <v>0</v>
      </c>
      <c r="L5" s="6" t="n">
        <v>0</v>
      </c>
      <c r="M5" s="6" t="n">
        <v>0</v>
      </c>
      <c r="N5" s="6" t="n">
        <v>0</v>
      </c>
      <c r="O5" s="7">
        <f>SUM(D5:N5)</f>
        <v/>
      </c>
    </row>
    <row r="6">
      <c r="A6" s="5" t="n">
        <v>3</v>
      </c>
      <c r="B6" s="5" t="inlineStr">
        <is>
          <t>151/MAP NO 16534</t>
        </is>
      </c>
      <c r="C6" s="5" t="inlineStr">
        <is>
          <t>4C</t>
        </is>
      </c>
      <c r="D6" s="6" t="n">
        <v>0</v>
      </c>
      <c r="E6" s="6" t="n">
        <v>372.15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7">
        <f>SUM(D6:N6)</f>
        <v/>
      </c>
    </row>
    <row r="7">
      <c r="A7" s="5" t="n">
        <v>4</v>
      </c>
      <c r="B7" s="5" t="inlineStr">
        <is>
          <t>151/MAP NO 16534</t>
        </is>
      </c>
      <c r="C7" s="5" t="inlineStr">
        <is>
          <t>5C</t>
        </is>
      </c>
      <c r="D7" s="6" t="n">
        <v>0</v>
      </c>
      <c r="E7" s="6" t="n">
        <v>372.15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7">
        <f>SUM(D7:N7)</f>
        <v/>
      </c>
    </row>
    <row r="8">
      <c r="A8" s="5" t="n">
        <v>5</v>
      </c>
      <c r="B8" s="5" t="inlineStr">
        <is>
          <t>111/MAP NO 166534</t>
        </is>
      </c>
      <c r="C8" s="5" t="inlineStr">
        <is>
          <t>6C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372.15</v>
      </c>
      <c r="L8" s="6" t="n">
        <v>0</v>
      </c>
      <c r="M8" s="6" t="n">
        <v>0</v>
      </c>
      <c r="N8" s="6" t="n">
        <v>0</v>
      </c>
      <c r="O8" s="7">
        <f>SUM(D8:N8)</f>
        <v/>
      </c>
    </row>
    <row r="9">
      <c r="A9" s="5" t="n">
        <v>6</v>
      </c>
      <c r="B9" s="5" t="inlineStr">
        <is>
          <t>131/MAP NO 17534</t>
        </is>
      </c>
      <c r="C9" s="5" t="inlineStr">
        <is>
          <t>5C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372.15</v>
      </c>
      <c r="M9" s="6" t="n">
        <v>0</v>
      </c>
      <c r="N9" s="6" t="n">
        <v>2000</v>
      </c>
      <c r="O9" s="7">
        <f>SUM(D9:N9)</f>
        <v/>
      </c>
    </row>
    <row r="10">
      <c r="A10" s="5" t="n">
        <v>7</v>
      </c>
      <c r="B10" s="5" t="inlineStr">
        <is>
          <t>1521/MAP NO 16536</t>
        </is>
      </c>
      <c r="C10" s="5" t="inlineStr">
        <is>
          <t>8C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372.15</v>
      </c>
      <c r="N10" s="6" t="n">
        <v>0</v>
      </c>
      <c r="O10" s="7">
        <f>SUM(D10:N10)</f>
        <v/>
      </c>
    </row>
    <row r="11">
      <c r="O11" s="8" t="n"/>
    </row>
    <row r="12">
      <c r="N12" s="1" t="inlineStr">
        <is>
          <t>TOTAL</t>
        </is>
      </c>
      <c r="O12" s="9">
        <f>SUM(O4:O10)</f>
        <v/>
      </c>
    </row>
    <row r="13">
      <c r="O13" s="8" t="n"/>
    </row>
    <row r="15">
      <c r="D15" s="5" t="inlineStr">
        <is>
          <t>LABOR:</t>
        </is>
      </c>
      <c r="E15" s="6">
        <f>O12*0.43</f>
        <v/>
      </c>
      <c r="G15" s="5" t="inlineStr">
        <is>
          <t>Will be 43% of total amount</t>
        </is>
      </c>
    </row>
    <row r="17">
      <c r="D17" s="5" t="inlineStr">
        <is>
          <t>MATERIAL:</t>
        </is>
      </c>
      <c r="E17" s="6">
        <f>O12*0.28</f>
        <v/>
      </c>
      <c r="G17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17</v>
      </c>
    </row>
    <row r="3">
      <c r="A3" s="5" t="inlineStr">
        <is>
          <t>Rows Parsed:</t>
        </is>
      </c>
      <c r="B3" s="5" t="n">
        <v>17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5</v>
      </c>
    </row>
    <row r="8">
      <c r="A8" s="5" t="inlineStr">
        <is>
          <t>EXT SPRAY OVERHANG</t>
        </is>
      </c>
      <c r="B8" s="5" t="n">
        <v>1</v>
      </c>
      <c r="C8" s="5" t="inlineStr">
        <is>
          <t>(auto-created)</t>
        </is>
      </c>
    </row>
    <row r="9">
      <c r="A9" s="5" t="inlineStr">
        <is>
          <t>EXTERIOR</t>
        </is>
      </c>
      <c r="B9" s="5" t="n">
        <v>1</v>
      </c>
    </row>
    <row r="10">
      <c r="A10" s="5" t="inlineStr">
        <is>
          <t>INT GROUND FLOOR (FLOORING ORDERS)</t>
        </is>
      </c>
      <c r="B10" s="5" t="n">
        <v>3</v>
      </c>
      <c r="C10" s="5" t="inlineStr">
        <is>
          <t>(auto-created)</t>
        </is>
      </c>
    </row>
    <row r="11">
      <c r="A11" s="5" t="inlineStr">
        <is>
          <t>INT KS &amp; BS / CEILINGS / WALLS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INT PLAYGROUND (FLOORING ORDERS)</t>
        </is>
      </c>
      <c r="B12" s="5" t="n">
        <v>1</v>
      </c>
      <c r="C12" s="5" t="inlineStr">
        <is>
          <t>(auto-created)</t>
        </is>
      </c>
    </row>
    <row r="13">
      <c r="A13" s="5" t="inlineStr">
        <is>
          <t>INT ROOF TOP (FLOORING ORDERS)</t>
        </is>
      </c>
      <c r="B13" s="5" t="n">
        <v>1</v>
      </c>
      <c r="C13" s="5" t="inlineStr">
        <is>
          <t>(auto-created)</t>
        </is>
      </c>
    </row>
    <row r="14">
      <c r="A14" s="5" t="inlineStr">
        <is>
          <t>INT SHOE BOARD (FLOORING ORDERS)</t>
        </is>
      </c>
      <c r="B14" s="5" t="n">
        <v>1</v>
      </c>
      <c r="C14" s="5" t="inlineStr">
        <is>
          <t>(auto-created)</t>
        </is>
      </c>
    </row>
    <row r="15">
      <c r="A15" s="5" t="inlineStr">
        <is>
          <t>INT UNDERCOAT / SAND &amp; CHECK</t>
        </is>
      </c>
      <c r="B15" s="5" t="n">
        <v>1</v>
      </c>
      <c r="C15" s="5" t="inlineStr">
        <is>
          <t>(auto-created)</t>
        </is>
      </c>
    </row>
    <row r="16">
      <c r="A16" s="5" t="inlineStr">
        <is>
          <t>ROLL WALLS FINAL</t>
        </is>
      </c>
      <c r="B16" s="5" t="n">
        <v>1</v>
      </c>
    </row>
    <row r="17">
      <c r="A17" s="5" t="inlineStr">
        <is>
          <t>TOUCH UP</t>
        </is>
      </c>
      <c r="B17" s="5" t="n">
        <v>1</v>
      </c>
    </row>
    <row r="19">
      <c r="A19" s="1" t="inlineStr">
        <is>
          <t>Auto-Created Categories</t>
        </is>
      </c>
    </row>
    <row r="20">
      <c r="A20" s="5" t="inlineStr">
        <is>
          <t>INT KS &amp; BS / CEILINGS / WALLS</t>
        </is>
      </c>
      <c r="B20" s="5" t="inlineStr">
        <is>
          <t>1 rows</t>
        </is>
      </c>
    </row>
    <row r="21">
      <c r="B21" s="5" t="inlineStr">
        <is>
          <t xml:space="preserve">  - Painting - Ks &amp; Bs / Ceilings / Walls (INT)  [LS]...</t>
        </is>
      </c>
    </row>
    <row r="22">
      <c r="B22" s="5" t="inlineStr">
        <is>
          <t xml:space="preserve">  - Painting - Ks &amp; Bs / Ceilings / Walls (INT)  [LS]...</t>
        </is>
      </c>
    </row>
    <row r="23">
      <c r="A23" s="5" t="inlineStr">
        <is>
          <t>EXT SPRAY OVERHANG</t>
        </is>
      </c>
      <c r="B23" s="5" t="inlineStr">
        <is>
          <t>1 rows</t>
        </is>
      </c>
    </row>
    <row r="24">
      <c r="B24" s="5" t="inlineStr">
        <is>
          <t xml:space="preserve">  - Painting - Spray Overhang (EXT) [LS]...</t>
        </is>
      </c>
    </row>
    <row r="25">
      <c r="B25" s="5" t="inlineStr">
        <is>
          <t xml:space="preserve">  - Painting - Spray Overhang (EXT) [LS]...</t>
        </is>
      </c>
    </row>
    <row r="26">
      <c r="A26" s="5" t="inlineStr">
        <is>
          <t>INT UNDERCOAT / SAND &amp; CHECK</t>
        </is>
      </c>
      <c r="B26" s="5" t="inlineStr">
        <is>
          <t>1 rows</t>
        </is>
      </c>
    </row>
    <row r="27">
      <c r="B27" s="5" t="inlineStr">
        <is>
          <t xml:space="preserve">  - PAINTING - UNDERCOAT / SAND &amp; CHECK / ENAMEL / BLOCK OUT (437205) (INT) (MS08) [...</t>
        </is>
      </c>
    </row>
    <row r="28">
      <c r="B28" s="5" t="inlineStr">
        <is>
          <t xml:space="preserve">  - PAINTING - UNDERCOAT / SAND &amp; CHECK / ENAMEL / BLOCK OUT (437205) (INT) (MS08) [...</t>
        </is>
      </c>
    </row>
    <row r="29">
      <c r="A29" s="5" t="inlineStr">
        <is>
          <t>INT SHOE BOARD (FLOORING ORDERS)</t>
        </is>
      </c>
      <c r="B29" s="5" t="inlineStr">
        <is>
          <t>1 rows</t>
        </is>
      </c>
    </row>
    <row r="30">
      <c r="B30" s="5" t="inlineStr">
        <is>
          <t xml:space="preserve">  - Painting - Shoe Board  (Flooring Orders) (455240) (INT) [LS] [10209561 - 2291010...</t>
        </is>
      </c>
    </row>
    <row r="31">
      <c r="B31" s="5" t="inlineStr">
        <is>
          <t xml:space="preserve">  - Painting - Shoe Board  (Flooring Orders) (455240) (INT) [LS] [10209561 - 2291010...</t>
        </is>
      </c>
    </row>
    <row r="32">
      <c r="A32" s="5" t="inlineStr">
        <is>
          <t>INT ROOF TOP (FLOORING ORDERS)</t>
        </is>
      </c>
      <c r="B32" s="5" t="inlineStr">
        <is>
          <t>1 rows</t>
        </is>
      </c>
    </row>
    <row r="33">
      <c r="B33" s="5" t="inlineStr">
        <is>
          <t xml:space="preserve">  - Painting - Roof Top (Flooring Orders) (455240) (INT) [LS] [10209561 - 22910101-0...</t>
        </is>
      </c>
    </row>
    <row r="34">
      <c r="B34" s="5" t="inlineStr">
        <is>
          <t xml:space="preserve">  - Painting - Roof Top (Flooring Orders) (455240) (INT) [LS] [10209561 - 22910101-0...</t>
        </is>
      </c>
    </row>
    <row r="35">
      <c r="A35" s="5" t="inlineStr">
        <is>
          <t>INT PLAYGROUND (FLOORING ORDERS)</t>
        </is>
      </c>
      <c r="B35" s="5" t="inlineStr">
        <is>
          <t>1 rows</t>
        </is>
      </c>
    </row>
    <row r="36">
      <c r="B36" s="5" t="inlineStr">
        <is>
          <t xml:space="preserve">  - Painting - PlayGround  (Flooring Orders) (455240) (INT) [LS] [10209561 - 2291010...</t>
        </is>
      </c>
    </row>
    <row r="37">
      <c r="B37" s="5" t="inlineStr">
        <is>
          <t xml:space="preserve">  - Painting - PlayGround  (Flooring Orders) (455240) (INT) [LS] [10209561 - 2291010...</t>
        </is>
      </c>
    </row>
    <row r="38">
      <c r="A38" s="5" t="inlineStr">
        <is>
          <t>INT GROUND FLOOR (FLOORING ORDERS)</t>
        </is>
      </c>
      <c r="B38" s="5" t="inlineStr">
        <is>
          <t>3 rows</t>
        </is>
      </c>
    </row>
    <row r="39">
      <c r="B39" s="5" t="inlineStr">
        <is>
          <t xml:space="preserve">  - Painting - Ground Floor  (Flooring Orders) (455240) (INT) [LS] [10209561 - 22910...</t>
        </is>
      </c>
    </row>
    <row r="40">
      <c r="B40" s="5" t="inlineStr">
        <is>
          <t xml:space="preserve">  - Painting - Ground Floor  (Flooring Orders) (455240) (INT) [LS] [10209561 - 22910...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2026-02-07T02:11:32Z</dcterms:created>
  <dcterms:modified xsi:type="dcterms:W3CDTF">2026-02-07T02:11:32Z</dcterms:modified>
</cp:coreProperties>
</file>