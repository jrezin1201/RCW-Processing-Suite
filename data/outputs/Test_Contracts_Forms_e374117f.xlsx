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5">
    <fill>
      <patternFill/>
    </fill>
    <fill>
      <patternFill patternType="gray125"/>
    </fill>
    <fill>
      <patternFill patternType="solid">
        <fgColor rgb="00E0F2F7"/>
        <bgColor rgb="00E0F2F7"/>
      </patternFill>
    </fill>
    <fill>
      <patternFill patternType="solid">
        <fgColor rgb="00F0F0F0"/>
        <bgColor rgb="00F0F0F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  <xf numFmtId="164" fontId="2" fillId="4" borderId="0" pivotButton="0" quotePrefix="0" xfId="0"/>
    <xf numFmtId="0" fontId="0" fillId="4" borderId="0" pivotButton="0" quotePrefix="0" xfId="0"/>
    <xf numFmtId="164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7" customWidth="1" min="3" max="3"/>
    <col width="12" customWidth="1" min="4" max="4"/>
    <col width="12" customWidth="1" min="5" max="5"/>
    <col width="13" customWidth="1" min="6" max="6"/>
    <col width="12" customWidth="1" min="7" max="7"/>
    <col width="18" customWidth="1" min="8" max="8"/>
    <col width="12" customWidth="1" min="9" max="9"/>
    <col width="13" customWidth="1" min="10" max="10"/>
    <col width="12" customWidth="1" min="11" max="11"/>
    <col width="12" customWidth="1" min="12" max="12"/>
  </cols>
  <sheetData>
    <row r="1">
      <c r="B1" s="1" t="inlineStr">
        <is>
          <t>Project Name: Escaya</t>
        </is>
      </c>
      <c r="G1" s="1" t="inlineStr">
        <is>
          <t>Phase:11</t>
        </is>
      </c>
      <c r="H1" s="2" t="inlineStr">
        <is>
          <t>BLDG 80 - HS 0150-0151 (AUG)</t>
        </is>
      </c>
      <c r="I1" s="1" t="inlineStr">
        <is>
          <t>Job #:</t>
        </is>
      </c>
    </row>
    <row r="3">
      <c r="A3" t="inlineStr"/>
      <c r="B3" s="3" t="inlineStr">
        <is>
          <t>LOT</t>
        </is>
      </c>
      <c r="C3" s="3" t="inlineStr">
        <is>
          <t>PLAN</t>
        </is>
      </c>
      <c r="D3" s="3" t="inlineStr">
        <is>
          <t>EXT PRIME</t>
        </is>
      </c>
      <c r="E3" s="3" t="inlineStr">
        <is>
          <t>EXTERIOR</t>
        </is>
      </c>
      <c r="F3" s="3" t="inlineStr">
        <is>
          <t>EXTERIOR UA</t>
        </is>
      </c>
      <c r="G3" s="3" t="inlineStr">
        <is>
          <t>INTERIOR</t>
        </is>
      </c>
      <c r="H3" s="3" t="inlineStr">
        <is>
          <t>ROLL WALLS FINAL</t>
        </is>
      </c>
      <c r="I3" s="3" t="inlineStr">
        <is>
          <t>TOUCH UP</t>
        </is>
      </c>
      <c r="J3" s="3" t="inlineStr">
        <is>
          <t>Q4 REVERSAL</t>
        </is>
      </c>
      <c r="K3" s="3" t="inlineStr">
        <is>
          <t>TASK</t>
        </is>
      </c>
      <c r="L3" s="4" t="inlineStr">
        <is>
          <t>Total</t>
        </is>
      </c>
    </row>
    <row r="4">
      <c r="A4" s="5" t="n">
        <v>1</v>
      </c>
      <c r="B4" s="5" t="inlineStr">
        <is>
          <t>Lot/Block</t>
        </is>
      </c>
      <c r="C4" s="5" t="inlineStr">
        <is>
          <t>PlanElevation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0</v>
      </c>
      <c r="I4" s="6" t="n">
        <v>0</v>
      </c>
      <c r="J4" s="6" t="n">
        <v>0</v>
      </c>
      <c r="K4" s="6" t="n">
        <v>0</v>
      </c>
      <c r="L4" s="7">
        <f>SUM(D4:K4)</f>
        <v/>
      </c>
    </row>
    <row r="5">
      <c r="A5" s="5" t="n">
        <v>2</v>
      </c>
      <c r="B5" s="5" t="inlineStr">
        <is>
          <t>150/MAP NO 16534</t>
        </is>
      </c>
      <c r="C5" s="5" t="inlineStr">
        <is>
          <t>3C</t>
        </is>
      </c>
      <c r="D5" s="6" t="n">
        <v>0</v>
      </c>
      <c r="E5" s="6" t="n">
        <v>0</v>
      </c>
      <c r="F5" s="6" t="n">
        <v>0</v>
      </c>
      <c r="G5" s="6" t="n">
        <v>207.45</v>
      </c>
      <c r="H5" s="6" t="n">
        <v>0</v>
      </c>
      <c r="I5" s="6" t="n">
        <v>0</v>
      </c>
      <c r="J5" s="6" t="n">
        <v>0</v>
      </c>
      <c r="K5" s="6" t="n">
        <v>0</v>
      </c>
      <c r="L5" s="7">
        <f>SUM(D5:K5)</f>
        <v/>
      </c>
    </row>
    <row r="6">
      <c r="A6" s="5" t="n">
        <v>3</v>
      </c>
      <c r="B6" s="5" t="inlineStr">
        <is>
          <t>BD80/MAP NO 16534</t>
        </is>
      </c>
      <c r="C6" s="5" t="inlineStr">
        <is>
          <t>B00DC</t>
        </is>
      </c>
      <c r="D6" s="6" t="n">
        <v>0</v>
      </c>
      <c r="E6" s="6" t="n">
        <v>2501.25</v>
      </c>
      <c r="F6" s="6" t="n">
        <v>0</v>
      </c>
      <c r="G6" s="6" t="n">
        <v>3611.5</v>
      </c>
      <c r="H6" s="6" t="n">
        <v>1500.75</v>
      </c>
      <c r="I6" s="6" t="n">
        <v>500.25</v>
      </c>
      <c r="J6" s="6" t="n">
        <v>0</v>
      </c>
      <c r="K6" s="6" t="n">
        <v>0</v>
      </c>
      <c r="L6" s="7">
        <f>SUM(D6:K6)</f>
        <v/>
      </c>
    </row>
    <row r="7">
      <c r="A7" s="5" t="n">
        <v>4</v>
      </c>
      <c r="B7" s="5" t="inlineStr">
        <is>
          <t>151/MAP NO 16534</t>
        </is>
      </c>
      <c r="C7" s="5" t="inlineStr">
        <is>
          <t>4C</t>
        </is>
      </c>
      <c r="D7" s="6" t="n">
        <v>0</v>
      </c>
      <c r="E7" s="6" t="n">
        <v>0</v>
      </c>
      <c r="F7" s="6" t="n">
        <v>0</v>
      </c>
      <c r="G7" s="6" t="n">
        <v>372.15</v>
      </c>
      <c r="H7" s="6" t="n">
        <v>0</v>
      </c>
      <c r="I7" s="6" t="n">
        <v>0</v>
      </c>
      <c r="J7" s="6" t="n">
        <v>0</v>
      </c>
      <c r="K7" s="6" t="n">
        <v>0</v>
      </c>
      <c r="L7" s="7">
        <f>SUM(D7:K7)</f>
        <v/>
      </c>
    </row>
    <row r="8">
      <c r="L8" s="8" t="n"/>
    </row>
    <row r="9">
      <c r="K9" s="1" t="inlineStr">
        <is>
          <t>TOTAL</t>
        </is>
      </c>
      <c r="L9" s="9">
        <f>SUM(L4:L7)</f>
        <v/>
      </c>
    </row>
    <row r="10">
      <c r="L10" s="8" t="n"/>
    </row>
    <row r="11">
      <c r="L11" s="8" t="n"/>
    </row>
    <row r="12">
      <c r="D12" s="5" t="inlineStr">
        <is>
          <t>LABOR:</t>
        </is>
      </c>
      <c r="E12" s="6">
        <f>L9*0.43</f>
        <v/>
      </c>
      <c r="G12" s="5" t="inlineStr">
        <is>
          <t>Will be 43% of total amount</t>
        </is>
      </c>
      <c r="L12" s="8" t="n"/>
    </row>
    <row r="13">
      <c r="L13" s="8" t="n"/>
    </row>
    <row r="14">
      <c r="D14" s="5" t="inlineStr">
        <is>
          <t>MATERIAL:</t>
        </is>
      </c>
      <c r="E14" s="6">
        <f>L9*0.28</f>
        <v/>
      </c>
      <c r="G14" s="5" t="inlineStr">
        <is>
          <t>will be 28% of total amount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30" customWidth="1" min="4" max="4"/>
  </cols>
  <sheetData>
    <row r="1">
      <c r="A1" s="1" t="inlineStr">
        <is>
          <t>Parsing Statistics</t>
        </is>
      </c>
    </row>
    <row r="2">
      <c r="A2" s="5" t="inlineStr">
        <is>
          <t>Total Rows Seen:</t>
        </is>
      </c>
      <c r="B2" s="5" t="n">
        <v>11</v>
      </c>
    </row>
    <row r="3">
      <c r="A3" s="5" t="inlineStr">
        <is>
          <t>Rows Parsed:</t>
        </is>
      </c>
      <c r="B3" s="5" t="n">
        <v>11</v>
      </c>
    </row>
    <row r="4">
      <c r="A4" s="5" t="inlineStr">
        <is>
          <t>Rows Skipped (Missing Fields):</t>
        </is>
      </c>
      <c r="B4" s="5" t="n">
        <v>0</v>
      </c>
    </row>
    <row r="6">
      <c r="A6" s="1" t="inlineStr">
        <is>
          <t>Counts Per Category</t>
        </is>
      </c>
    </row>
    <row r="7">
      <c r="A7" s="5" t="inlineStr">
        <is>
          <t>EXTERIOR</t>
        </is>
      </c>
      <c r="B7" s="5" t="n">
        <v>2</v>
      </c>
    </row>
    <row r="8">
      <c r="A8" s="5" t="inlineStr">
        <is>
          <t>INTERIOR</t>
        </is>
      </c>
      <c r="B8" s="5" t="n">
        <v>6</v>
      </c>
    </row>
    <row r="9">
      <c r="A9" s="5" t="inlineStr">
        <is>
          <t>ROLL WALLS FINAL</t>
        </is>
      </c>
      <c r="B9" s="5" t="n">
        <v>1</v>
      </c>
    </row>
    <row r="10">
      <c r="A10" s="5" t="inlineStr">
        <is>
          <t>TASK</t>
        </is>
      </c>
      <c r="B10" s="5" t="n">
        <v>1</v>
      </c>
      <c r="C10" s="5" t="inlineStr">
        <is>
          <t>(auto-created)</t>
        </is>
      </c>
    </row>
    <row r="11">
      <c r="A11" s="5" t="inlineStr">
        <is>
          <t>TOUCH UP</t>
        </is>
      </c>
      <c r="B11" s="5" t="n">
        <v>1</v>
      </c>
    </row>
    <row r="13">
      <c r="A13" s="1" t="inlineStr">
        <is>
          <t>Auto-Created Categories</t>
        </is>
      </c>
    </row>
    <row r="14">
      <c r="A14" s="5" t="inlineStr">
        <is>
          <t>TASK</t>
        </is>
      </c>
      <c r="B14" s="5" t="inlineStr">
        <is>
          <t>1 rows</t>
        </is>
      </c>
    </row>
    <row r="15">
      <c r="B15" s="5" t="inlineStr">
        <is>
          <t xml:space="preserve">  - Task...</t>
        </is>
      </c>
    </row>
    <row r="16">
      <c r="B16" s="5" t="inlineStr">
        <is>
          <t xml:space="preserve">  - Task...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2026-02-06T23:26:11Z</dcterms:created>
  <dcterms:modified xsi:type="dcterms:W3CDTF">2026-02-06T23:26:11Z</dcterms:modified>
</cp:coreProperties>
</file>