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" sheetId="1" state="visible" r:id="rId1"/>
    <sheet name="Capital One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/d/yyyy"/>
    <numFmt numFmtId="166" formatCode="#,##0.00;(#,##0.00)"/>
    <numFmt numFmtId="167" formatCode="m/d/yyyy h:mm AM/PM"/>
    <numFmt numFmtId="168" formatCode="$#,##0.00;($#,##0.00)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3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166" fontId="1" fillId="0" borderId="2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0" fontId="0" fillId="0" borderId="3" pivotButton="0" quotePrefix="0" xfId="0"/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6092"/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Capital One Card Report</t>
        </is>
      </c>
    </row>
    <row r="4">
      <c r="B4" s="2" t="inlineStr">
        <is>
          <t>Generated:</t>
        </is>
      </c>
      <c r="C4" s="3" t="n">
        <v>46210.64978270711</v>
      </c>
    </row>
    <row r="5">
      <c r="B5" s="2" t="inlineStr">
        <is>
          <t>Date range (Transaction):</t>
        </is>
      </c>
      <c r="C5" s="4" t="inlineStr">
        <is>
          <t>5/16/2026 – 6/16/2026</t>
        </is>
      </c>
    </row>
    <row r="6">
      <c r="B6" s="2" t="inlineStr">
        <is>
          <t>Card number(s):</t>
        </is>
      </c>
      <c r="C6" s="4" t="inlineStr">
        <is>
          <t>3390, 4419, 5527, 7761, 8102</t>
        </is>
      </c>
    </row>
    <row r="8">
      <c r="B8" s="5" t="inlineStr">
        <is>
          <t>OVERVIEW</t>
        </is>
      </c>
      <c r="C8" s="6" t="n"/>
    </row>
    <row r="9">
      <c r="B9" s="2" t="inlineStr">
        <is>
          <t>Total transactions:</t>
        </is>
      </c>
      <c r="C9" s="7" t="n">
        <v>92</v>
      </c>
    </row>
    <row r="10">
      <c r="B10" s="2" t="inlineStr">
        <is>
          <t>Grand Total (Debit):</t>
        </is>
      </c>
      <c r="C10" s="8">
        <f>'Capital One Card'!C133</f>
        <v/>
      </c>
    </row>
    <row r="11">
      <c r="B11" s="2" t="inlineStr">
        <is>
          <t>Grand Total (Credit):</t>
        </is>
      </c>
      <c r="C11" s="8">
        <f>'Capital One Card'!D133</f>
        <v/>
      </c>
    </row>
    <row r="13">
      <c r="B13" s="5" t="inlineStr">
        <is>
          <t>BY CATEGORY</t>
        </is>
      </c>
      <c r="C13" s="6" t="n"/>
      <c r="D13" s="6" t="n"/>
      <c r="E13" s="6" t="n"/>
    </row>
    <row r="14">
      <c r="B14" s="4" t="inlineStr">
        <is>
          <t>Category</t>
        </is>
      </c>
      <c r="C14" s="9" t="inlineStr">
        <is>
          <t>Transactions</t>
        </is>
      </c>
      <c r="D14" s="9" t="inlineStr">
        <is>
          <t>Debit</t>
        </is>
      </c>
      <c r="E14" s="9" t="inlineStr">
        <is>
          <t>Credit</t>
        </is>
      </c>
    </row>
    <row r="15">
      <c r="B15" s="10" t="inlineStr">
        <is>
          <t>Dining</t>
        </is>
      </c>
      <c r="C15" s="11" t="n">
        <v>8</v>
      </c>
      <c r="D15" s="12">
        <f>'Capital One Card'!C11</f>
        <v/>
      </c>
      <c r="E15" s="12">
        <f>'Capital One Card'!D11</f>
        <v/>
      </c>
    </row>
    <row r="16">
      <c r="B16" s="10" t="inlineStr">
        <is>
          <t>Entertainment</t>
        </is>
      </c>
      <c r="C16" s="11" t="n">
        <v>9</v>
      </c>
      <c r="D16" s="12">
        <f>'Capital One Card'!C23</f>
        <v/>
      </c>
      <c r="E16" s="12">
        <f>'Capital One Card'!D23</f>
        <v/>
      </c>
    </row>
    <row r="17">
      <c r="B17" s="10" t="inlineStr">
        <is>
          <t>Gas/Automotive</t>
        </is>
      </c>
      <c r="C17" s="11" t="n">
        <v>10</v>
      </c>
      <c r="D17" s="12">
        <f>'Capital One Card'!C36</f>
        <v/>
      </c>
      <c r="E17" s="12">
        <f>'Capital One Card'!D36</f>
        <v/>
      </c>
    </row>
    <row r="18">
      <c r="B18" s="10" t="inlineStr">
        <is>
          <t>Health Care</t>
        </is>
      </c>
      <c r="C18" s="11" t="n">
        <v>4</v>
      </c>
      <c r="D18" s="12">
        <f>'Capital One Card'!C43</f>
        <v/>
      </c>
      <c r="E18" s="12">
        <f>'Capital One Card'!D43</f>
        <v/>
      </c>
    </row>
    <row r="19">
      <c r="B19" s="10" t="inlineStr">
        <is>
          <t>Insurance</t>
        </is>
      </c>
      <c r="C19" s="11" t="n">
        <v>1</v>
      </c>
      <c r="D19" s="12">
        <f>'Capital One Card'!C47</f>
        <v/>
      </c>
      <c r="E19" s="12">
        <f>'Capital One Card'!D47</f>
        <v/>
      </c>
    </row>
    <row r="20">
      <c r="B20" s="10" t="inlineStr">
        <is>
          <t>Internet</t>
        </is>
      </c>
      <c r="C20" s="11" t="n">
        <v>6</v>
      </c>
      <c r="D20" s="12">
        <f>'Capital One Card'!C56</f>
        <v/>
      </c>
      <c r="E20" s="12">
        <f>'Capital One Card'!D56</f>
        <v/>
      </c>
    </row>
    <row r="21">
      <c r="B21" s="10" t="inlineStr">
        <is>
          <t>Lodging</t>
        </is>
      </c>
      <c r="C21" s="11" t="n">
        <v>3</v>
      </c>
      <c r="D21" s="12">
        <f>'Capital One Card'!C62</f>
        <v/>
      </c>
      <c r="E21" s="12">
        <f>'Capital One Card'!D62</f>
        <v/>
      </c>
    </row>
    <row r="22">
      <c r="B22" s="10" t="inlineStr">
        <is>
          <t>Merchandise</t>
        </is>
      </c>
      <c r="C22" s="11" t="n">
        <v>25</v>
      </c>
      <c r="D22" s="12">
        <f>'Capital One Card'!C90</f>
        <v/>
      </c>
      <c r="E22" s="12">
        <f>'Capital One Card'!D90</f>
        <v/>
      </c>
    </row>
    <row r="23">
      <c r="B23" s="10" t="inlineStr">
        <is>
          <t>Other</t>
        </is>
      </c>
      <c r="C23" s="11" t="n">
        <v>3</v>
      </c>
      <c r="D23" s="12">
        <f>'Capital One Card'!C96</f>
        <v/>
      </c>
      <c r="E23" s="12">
        <f>'Capital One Card'!D96</f>
        <v/>
      </c>
    </row>
    <row r="24">
      <c r="B24" s="10" t="inlineStr">
        <is>
          <t>Other Services</t>
        </is>
      </c>
      <c r="C24" s="11" t="n">
        <v>12</v>
      </c>
      <c r="D24" s="12">
        <f>'Capital One Card'!C111</f>
        <v/>
      </c>
      <c r="E24" s="12">
        <f>'Capital One Card'!D111</f>
        <v/>
      </c>
    </row>
    <row r="25">
      <c r="B25" s="10" t="inlineStr">
        <is>
          <t>Other Travel</t>
        </is>
      </c>
      <c r="C25" s="11" t="n">
        <v>6</v>
      </c>
      <c r="D25" s="12">
        <f>'Capital One Card'!C120</f>
        <v/>
      </c>
      <c r="E25" s="12">
        <f>'Capital One Card'!D120</f>
        <v/>
      </c>
    </row>
    <row r="26">
      <c r="B26" s="10" t="inlineStr">
        <is>
          <t>Payment/Credit</t>
        </is>
      </c>
      <c r="C26" s="11" t="n">
        <v>3</v>
      </c>
      <c r="D26" s="12">
        <f>'Capital One Card'!C126</f>
        <v/>
      </c>
      <c r="E26" s="12">
        <f>'Capital One Card'!D126</f>
        <v/>
      </c>
    </row>
    <row r="27">
      <c r="B27" s="10" t="inlineStr">
        <is>
          <t>Professional Services</t>
        </is>
      </c>
      <c r="C27" s="11" t="n">
        <v>2</v>
      </c>
      <c r="D27" s="12">
        <f>'Capital One Card'!C131</f>
        <v/>
      </c>
      <c r="E27" s="12">
        <f>'Capital One Card'!D131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</cols>
  <sheetData>
    <row r="1">
      <c r="A1" s="13" t="inlineStr">
        <is>
          <t>Transaction Date</t>
        </is>
      </c>
      <c r="B1" s="13" t="inlineStr">
        <is>
          <t>Description</t>
        </is>
      </c>
      <c r="C1" s="13" t="inlineStr">
        <is>
          <t>Debit</t>
        </is>
      </c>
      <c r="D1" s="13" t="inlineStr">
        <is>
          <t>Credit</t>
        </is>
      </c>
    </row>
    <row r="2">
      <c r="A2" s="5" t="inlineStr">
        <is>
          <t>Dining</t>
        </is>
      </c>
      <c r="B2" s="6" t="n"/>
      <c r="C2" s="6" t="n"/>
      <c r="D2" s="6" t="n"/>
    </row>
    <row r="3">
      <c r="A3" s="14" t="n">
        <v>46187</v>
      </c>
      <c r="B3" s="15" t="inlineStr">
        <is>
          <t>CHIPOTLE 1885</t>
        </is>
      </c>
      <c r="C3" s="16" t="n">
        <v>24.65</v>
      </c>
    </row>
    <row r="4">
      <c r="A4" s="14" t="n">
        <v>46181</v>
      </c>
      <c r="B4" s="15" t="inlineStr">
        <is>
          <t>DOORDASH*RUBIOS COASTAL</t>
        </is>
      </c>
      <c r="C4" s="16" t="n">
        <v>99.06</v>
      </c>
    </row>
    <row r="5">
      <c r="A5" s="14" t="n">
        <v>46180</v>
      </c>
      <c r="B5" s="15" t="inlineStr">
        <is>
          <t>HEIRLOOM A MODERN FARM</t>
        </is>
      </c>
      <c r="C5" s="16" t="n">
        <v>196.97</v>
      </c>
    </row>
    <row r="6">
      <c r="A6" s="14" t="n">
        <v>46165</v>
      </c>
      <c r="B6" s="15" t="inlineStr">
        <is>
          <t>IN-N-OUT BURGER #112</t>
        </is>
      </c>
      <c r="C6" s="16" t="n">
        <v>18.34</v>
      </c>
    </row>
    <row r="7">
      <c r="A7" s="14" t="n">
        <v>46183</v>
      </c>
      <c r="B7" s="15" t="inlineStr">
        <is>
          <t>SQ *MAJESTIC INDUSTRY</t>
        </is>
      </c>
      <c r="C7" s="16" t="n">
        <v>39.51</v>
      </c>
    </row>
    <row r="8">
      <c r="A8" s="14" t="n">
        <v>46161</v>
      </c>
      <c r="B8" s="15" t="inlineStr">
        <is>
          <t>SQ *MAJESTIC REFUND</t>
        </is>
      </c>
      <c r="D8" s="16" t="n">
        <v>39.51</v>
      </c>
    </row>
    <row r="9">
      <c r="A9" s="14" t="n">
        <v>46186</v>
      </c>
      <c r="B9" s="15" t="inlineStr">
        <is>
          <t>STARBUCKS #08812</t>
        </is>
      </c>
      <c r="C9" s="16" t="n">
        <v>6.75</v>
      </c>
    </row>
    <row r="10">
      <c r="A10" s="14" t="n">
        <v>46175</v>
      </c>
      <c r="B10" s="15" t="inlineStr">
        <is>
          <t>TST*MARIO'S BUTCHERY &amp;</t>
        </is>
      </c>
      <c r="C10" s="16" t="n">
        <v>130.84</v>
      </c>
    </row>
    <row r="11">
      <c r="A11" s="17" t="inlineStr">
        <is>
          <t>Dining Total</t>
        </is>
      </c>
      <c r="B11" s="18" t="n"/>
      <c r="C11" s="19">
        <f>SUM(C3:C10)</f>
        <v/>
      </c>
      <c r="D11" s="19">
        <f>SUM(D3:D10)</f>
        <v/>
      </c>
    </row>
    <row r="13">
      <c r="A13" s="5" t="inlineStr">
        <is>
          <t>Entertainment</t>
        </is>
      </c>
      <c r="B13" s="6" t="n"/>
      <c r="C13" s="6" t="n"/>
      <c r="D13" s="6" t="n"/>
    </row>
    <row r="14">
      <c r="A14" s="14" t="n">
        <v>46173</v>
      </c>
      <c r="B14" s="15" t="inlineStr">
        <is>
          <t>AUDIBLE*BW2QY7</t>
        </is>
      </c>
      <c r="C14" s="16" t="n">
        <v>14.95</v>
      </c>
    </row>
    <row r="15">
      <c r="A15" s="14" t="n">
        <v>46160</v>
      </c>
      <c r="B15" s="15" t="inlineStr">
        <is>
          <t>BVE*BeenVerified.com</t>
        </is>
      </c>
      <c r="C15" s="16" t="n">
        <v>32.89</v>
      </c>
    </row>
    <row r="16">
      <c r="A16" s="14" t="n">
        <v>46168</v>
      </c>
      <c r="B16" s="15" t="inlineStr">
        <is>
          <t>CEP*THE HUNTINGTON CL</t>
        </is>
      </c>
      <c r="C16" s="16" t="n">
        <v>1981.27</v>
      </c>
    </row>
    <row r="17">
      <c r="A17" s="14" t="n">
        <v>46179</v>
      </c>
      <c r="B17" s="15" t="inlineStr">
        <is>
          <t>CROSSFIT SURF CITY</t>
        </is>
      </c>
      <c r="C17" s="16" t="n">
        <v>370</v>
      </c>
    </row>
    <row r="18">
      <c r="A18" s="14" t="n">
        <v>46166</v>
      </c>
      <c r="B18" s="15" t="inlineStr">
        <is>
          <t>FSP*T &amp; A JUMPERS AND</t>
        </is>
      </c>
      <c r="C18" s="16" t="n">
        <v>579.65</v>
      </c>
    </row>
    <row r="19">
      <c r="A19" s="14" t="n">
        <v>46176</v>
      </c>
      <c r="B19" s="15" t="inlineStr">
        <is>
          <t>HULU 877-8244858</t>
        </is>
      </c>
      <c r="C19" s="16" t="n">
        <v>17.99</v>
      </c>
    </row>
    <row r="20">
      <c r="A20" s="14" t="n">
        <v>46183</v>
      </c>
      <c r="B20" s="15" t="inlineStr">
        <is>
          <t>LA FITNESS 000000</t>
        </is>
      </c>
      <c r="C20" s="16" t="n">
        <v>34.99</v>
      </c>
    </row>
    <row r="21">
      <c r="A21" s="14" t="n">
        <v>46168</v>
      </c>
      <c r="B21" s="15" t="inlineStr">
        <is>
          <t>SIRIUSXM.COM/ACCT</t>
        </is>
      </c>
      <c r="C21" s="16" t="n">
        <v>21.99</v>
      </c>
    </row>
    <row r="22">
      <c r="A22" s="14" t="n">
        <v>46187</v>
      </c>
      <c r="B22" s="15" t="inlineStr">
        <is>
          <t>SPOTIFY USA</t>
        </is>
      </c>
      <c r="C22" s="16" t="n">
        <v>11.99</v>
      </c>
    </row>
    <row r="23">
      <c r="A23" s="17" t="inlineStr">
        <is>
          <t>Entertainment Total</t>
        </is>
      </c>
      <c r="B23" s="18" t="n"/>
      <c r="C23" s="19">
        <f>SUM(C14:C22)</f>
        <v/>
      </c>
      <c r="D23" s="19">
        <f>SUM(D14:D22)</f>
        <v/>
      </c>
    </row>
    <row r="25">
      <c r="A25" s="5" t="inlineStr">
        <is>
          <t>Gas/Automotive</t>
        </is>
      </c>
      <c r="B25" s="6" t="n"/>
      <c r="C25" s="6" t="n"/>
      <c r="D25" s="6" t="n"/>
    </row>
    <row r="26">
      <c r="A26" s="14" t="n">
        <v>46173</v>
      </c>
      <c r="B26" s="15" t="inlineStr">
        <is>
          <t>76 - APRO LLC 2708886</t>
        </is>
      </c>
      <c r="C26" s="16" t="n">
        <v>100.14</v>
      </c>
    </row>
    <row r="27">
      <c r="A27" s="14" t="n">
        <v>46172</v>
      </c>
      <c r="B27" s="15" t="inlineStr">
        <is>
          <t>ACE PARKING 2604</t>
        </is>
      </c>
      <c r="C27" s="16" t="n">
        <v>3</v>
      </c>
    </row>
    <row r="28">
      <c r="A28" s="14" t="n">
        <v>46181</v>
      </c>
      <c r="B28" s="15" t="inlineStr">
        <is>
          <t>ARCO 915737</t>
        </is>
      </c>
      <c r="C28" s="16" t="n">
        <v>107.94</v>
      </c>
    </row>
    <row r="29">
      <c r="A29" s="14" t="n">
        <v>46185</v>
      </c>
      <c r="B29" s="15" t="inlineStr">
        <is>
          <t>CHEVRON 0356005</t>
        </is>
      </c>
      <c r="C29" s="16" t="n">
        <v>114.94</v>
      </c>
    </row>
    <row r="30">
      <c r="A30" s="14" t="n">
        <v>46183</v>
      </c>
      <c r="B30" s="15" t="inlineStr">
        <is>
          <t>EXXON HB FUELS INC</t>
        </is>
      </c>
      <c r="C30" s="16" t="n">
        <v>70.23999999999999</v>
      </c>
    </row>
    <row r="31">
      <c r="A31" s="14" t="n">
        <v>46174</v>
      </c>
      <c r="B31" s="15" t="inlineStr">
        <is>
          <t>FROGS EXPRESS WASH</t>
        </is>
      </c>
      <c r="C31" s="16" t="n">
        <v>11.4</v>
      </c>
    </row>
    <row r="32">
      <c r="A32" s="14" t="n">
        <v>46168</v>
      </c>
      <c r="B32" s="15" t="inlineStr">
        <is>
          <t>SHELL OIL 12651332004</t>
        </is>
      </c>
      <c r="C32" s="16" t="n">
        <v>1.08</v>
      </c>
    </row>
    <row r="33">
      <c r="A33" s="14" t="n">
        <v>46188</v>
      </c>
      <c r="B33" s="15" t="inlineStr">
        <is>
          <t>SHELL OIL 57444291</t>
        </is>
      </c>
      <c r="C33" s="16" t="n">
        <v>52.18</v>
      </c>
    </row>
    <row r="34">
      <c r="A34" s="14" t="n">
        <v>46163</v>
      </c>
      <c r="B34" s="15" t="inlineStr">
        <is>
          <t>THE DEPOT 3</t>
        </is>
      </c>
      <c r="C34" s="16" t="n">
        <v>10.25</v>
      </c>
    </row>
    <row r="35">
      <c r="A35" s="14" t="n">
        <v>46175</v>
      </c>
      <c r="B35" s="15" t="inlineStr">
        <is>
          <t>THE TOLL ROADS OF OC</t>
        </is>
      </c>
      <c r="C35" s="16" t="n">
        <v>55</v>
      </c>
    </row>
    <row r="36">
      <c r="A36" s="17" t="inlineStr">
        <is>
          <t>Gas/Automotive Total</t>
        </is>
      </c>
      <c r="B36" s="18" t="n"/>
      <c r="C36" s="19">
        <f>SUM(C26:C35)</f>
        <v/>
      </c>
      <c r="D36" s="19">
        <f>SUM(D26:D35)</f>
        <v/>
      </c>
    </row>
    <row r="38">
      <c r="A38" s="5" t="inlineStr">
        <is>
          <t>Health Care</t>
        </is>
      </c>
      <c r="B38" s="6" t="n"/>
      <c r="C38" s="6" t="n"/>
      <c r="D38" s="6" t="n"/>
    </row>
    <row r="39">
      <c r="A39" s="14" t="n">
        <v>46173</v>
      </c>
      <c r="B39" s="15" t="inlineStr">
        <is>
          <t>BLVD *HYDRATION ROOM</t>
        </is>
      </c>
      <c r="C39" s="16" t="n">
        <v>149</v>
      </c>
    </row>
    <row r="40">
      <c r="A40" s="14" t="n">
        <v>46161</v>
      </c>
      <c r="B40" s="15" t="inlineStr">
        <is>
          <t>CVS/PHARMACY #09823</t>
        </is>
      </c>
      <c r="C40" s="16" t="n">
        <v>42.68</v>
      </c>
    </row>
    <row r="41">
      <c r="A41" s="14" t="n">
        <v>46174</v>
      </c>
      <c r="B41" s="15" t="inlineStr">
        <is>
          <t>FUNCTION HEALTH</t>
        </is>
      </c>
      <c r="C41" s="16" t="n">
        <v>948</v>
      </c>
    </row>
    <row r="42">
      <c r="A42" s="14" t="n">
        <v>46185</v>
      </c>
      <c r="B42" s="15" t="inlineStr">
        <is>
          <t>IN *IOSM DBA ON-SITE H</t>
        </is>
      </c>
      <c r="C42" s="16" t="n">
        <v>615</v>
      </c>
    </row>
    <row r="43">
      <c r="A43" s="17" t="inlineStr">
        <is>
          <t>Health Care Total</t>
        </is>
      </c>
      <c r="B43" s="18" t="n"/>
      <c r="C43" s="19">
        <f>SUM(C39:C42)</f>
        <v/>
      </c>
      <c r="D43" s="19">
        <f>SUM(D39:D42)</f>
        <v/>
      </c>
    </row>
    <row r="45">
      <c r="A45" s="5" t="inlineStr">
        <is>
          <t>Insurance</t>
        </is>
      </c>
      <c r="B45" s="6" t="n"/>
      <c r="C45" s="6" t="n"/>
      <c r="D45" s="6" t="n"/>
    </row>
    <row r="46">
      <c r="A46" s="14" t="n">
        <v>46175</v>
      </c>
      <c r="B46" s="15" t="inlineStr">
        <is>
          <t>CA CONTRACTORS INS SVC</t>
        </is>
      </c>
      <c r="C46" s="16" t="n">
        <v>331</v>
      </c>
    </row>
    <row r="47">
      <c r="A47" s="17" t="inlineStr">
        <is>
          <t>Insurance Total</t>
        </is>
      </c>
      <c r="B47" s="18" t="n"/>
      <c r="C47" s="19">
        <f>SUM(C46:C46)</f>
        <v/>
      </c>
      <c r="D47" s="19">
        <f>SUM(D46:D46)</f>
        <v/>
      </c>
    </row>
    <row r="49">
      <c r="A49" s="5" t="inlineStr">
        <is>
          <t>Internet</t>
        </is>
      </c>
      <c r="B49" s="6" t="n"/>
      <c r="C49" s="6" t="n"/>
      <c r="D49" s="6" t="n"/>
    </row>
    <row r="50">
      <c r="A50" s="14" t="n">
        <v>46166</v>
      </c>
      <c r="B50" s="15" t="inlineStr">
        <is>
          <t>ADOBE *CREATIVE CLOUD</t>
        </is>
      </c>
      <c r="C50" s="16" t="n">
        <v>54.99</v>
      </c>
    </row>
    <row r="51">
      <c r="A51" s="14" t="n">
        <v>46185</v>
      </c>
      <c r="B51" s="15" t="inlineStr">
        <is>
          <t>APPLE.COM/BILL</t>
        </is>
      </c>
      <c r="C51" s="16" t="n">
        <v>2.99</v>
      </c>
    </row>
    <row r="52">
      <c r="A52" s="14" t="n">
        <v>46170</v>
      </c>
      <c r="B52" s="15" t="inlineStr">
        <is>
          <t>DROPBOX*8YT2FQ9</t>
        </is>
      </c>
      <c r="C52" s="16" t="n">
        <v>11.99</v>
      </c>
    </row>
    <row r="53">
      <c r="A53" s="14" t="n">
        <v>46174</v>
      </c>
      <c r="B53" s="15" t="inlineStr">
        <is>
          <t>GOOGLE *YOUTUBEPREMIUM</t>
        </is>
      </c>
      <c r="C53" s="16" t="n">
        <v>13.99</v>
      </c>
    </row>
    <row r="54">
      <c r="A54" s="14" t="n">
        <v>46181</v>
      </c>
      <c r="B54" s="15" t="inlineStr">
        <is>
          <t>OnStar, LLC</t>
        </is>
      </c>
      <c r="C54" s="16" t="n">
        <v>34.99</v>
      </c>
    </row>
    <row r="55">
      <c r="A55" s="14" t="n">
        <v>46177</v>
      </c>
      <c r="B55" s="15" t="inlineStr">
        <is>
          <t>WWW.USE.AI/US</t>
        </is>
      </c>
      <c r="C55" s="16" t="n">
        <v>29.99</v>
      </c>
    </row>
    <row r="56">
      <c r="A56" s="17" t="inlineStr">
        <is>
          <t>Internet Total</t>
        </is>
      </c>
      <c r="B56" s="18" t="n"/>
      <c r="C56" s="19">
        <f>SUM(C50:C55)</f>
        <v/>
      </c>
      <c r="D56" s="19">
        <f>SUM(D50:D55)</f>
        <v/>
      </c>
    </row>
    <row r="58">
      <c r="A58" s="5" t="inlineStr">
        <is>
          <t>Lodging</t>
        </is>
      </c>
      <c r="B58" s="6" t="n"/>
      <c r="C58" s="6" t="n"/>
      <c r="D58" s="6" t="n"/>
    </row>
    <row r="59">
      <c r="A59" s="14" t="n">
        <v>46185</v>
      </c>
      <c r="B59" s="15" t="inlineStr">
        <is>
          <t>MARRIOTT HOTELS 5541</t>
        </is>
      </c>
      <c r="C59" s="16" t="n">
        <v>342.11</v>
      </c>
    </row>
    <row r="60">
      <c r="A60" s="14" t="n">
        <v>46168</v>
      </c>
      <c r="B60" s="15" t="inlineStr">
        <is>
          <t>PACIFIC PALMS RESORT F</t>
        </is>
      </c>
      <c r="C60" s="16" t="n">
        <v>62.68</v>
      </c>
    </row>
    <row r="61">
      <c r="A61" s="14" t="n">
        <v>46181</v>
      </c>
      <c r="B61" s="15" t="inlineStr">
        <is>
          <t>PELICAN HILL RESORT</t>
        </is>
      </c>
      <c r="C61" s="16" t="n">
        <v>327.16</v>
      </c>
    </row>
    <row r="62">
      <c r="A62" s="17" t="inlineStr">
        <is>
          <t>Lodging Total</t>
        </is>
      </c>
      <c r="B62" s="18" t="n"/>
      <c r="C62" s="19">
        <f>SUM(C59:C61)</f>
        <v/>
      </c>
      <c r="D62" s="19">
        <f>SUM(D59:D61)</f>
        <v/>
      </c>
    </row>
    <row r="64">
      <c r="A64" s="5" t="inlineStr">
        <is>
          <t>Merchandise</t>
        </is>
      </c>
      <c r="B64" s="6" t="n"/>
      <c r="C64" s="6" t="n"/>
      <c r="D64" s="6" t="n"/>
    </row>
    <row r="65">
      <c r="A65" s="14" t="n">
        <v>46186</v>
      </c>
      <c r="B65" s="15" t="inlineStr">
        <is>
          <t>AMAZON.COM*RT4G9, LLC</t>
        </is>
      </c>
      <c r="C65" s="16" t="n">
        <v>156.03</v>
      </c>
    </row>
    <row r="66">
      <c r="A66" s="14" t="n">
        <v>46174</v>
      </c>
      <c r="B66" s="15" t="inlineStr">
        <is>
          <t>AMZN MKTP US*2K4XY</t>
        </is>
      </c>
      <c r="C66" s="16" t="n">
        <v>0.99</v>
      </c>
    </row>
    <row r="67">
      <c r="A67" s="14" t="n">
        <v>46163</v>
      </c>
      <c r="B67" s="15" t="inlineStr">
        <is>
          <t>BEST BUY 00014539</t>
        </is>
      </c>
      <c r="C67" s="16" t="n">
        <v>1299.99</v>
      </c>
    </row>
    <row r="68">
      <c r="A68" s="14" t="n">
        <v>46174</v>
      </c>
      <c r="B68" s="15" t="inlineStr">
        <is>
          <t>BROOKS BROTHERS #123</t>
        </is>
      </c>
      <c r="D68" s="16" t="n">
        <v>289.5</v>
      </c>
    </row>
    <row r="69">
      <c r="A69" s="14" t="n">
        <v>46185</v>
      </c>
      <c r="B69" s="15" t="inlineStr">
        <is>
          <t>COSTCO WHSE #1043</t>
        </is>
      </c>
      <c r="C69" s="16" t="n">
        <v>412.88</v>
      </c>
    </row>
    <row r="70">
      <c r="A70" s="14" t="n">
        <v>46175</v>
      </c>
      <c r="B70" s="15" t="inlineStr">
        <is>
          <t>CROWN ACE HARDWARE</t>
        </is>
      </c>
      <c r="C70" s="16" t="n">
        <v>24</v>
      </c>
    </row>
    <row r="71">
      <c r="A71" s="14" t="n">
        <v>46171</v>
      </c>
      <c r="B71" s="15" t="inlineStr">
        <is>
          <t>JACK SURFBOARDS- HUNTI</t>
        </is>
      </c>
      <c r="C71" s="16" t="n">
        <v>282.23</v>
      </c>
    </row>
    <row r="72">
      <c r="A72" s="14" t="n">
        <v>46172</v>
      </c>
      <c r="B72" s="15" t="inlineStr">
        <is>
          <t>MOTHER'S MARKET &amp; KI</t>
        </is>
      </c>
      <c r="C72" s="16" t="n">
        <v>84.12</v>
      </c>
    </row>
    <row r="73">
      <c r="A73" s="14" t="n">
        <v>46173</v>
      </c>
      <c r="B73" s="15" t="inlineStr">
        <is>
          <t>NADY'S MARKET</t>
        </is>
      </c>
      <c r="C73" s="16" t="n">
        <v>6.08</v>
      </c>
    </row>
    <row r="74">
      <c r="A74" s="14" t="n">
        <v>46160</v>
      </c>
      <c r="B74" s="15" t="inlineStr">
        <is>
          <t>NORDSTROM #0219</t>
        </is>
      </c>
      <c r="C74" s="16" t="n">
        <v>456.78</v>
      </c>
    </row>
    <row r="75">
      <c r="A75" s="14" t="n">
        <v>46184</v>
      </c>
      <c r="B75" s="15" t="inlineStr">
        <is>
          <t>PAYPAL *REFUND SPORTS</t>
        </is>
      </c>
      <c r="D75" s="16" t="n">
        <v>45.2</v>
      </c>
    </row>
    <row r="76">
      <c r="A76" s="14" t="n">
        <v>46180</v>
      </c>
      <c r="B76" s="15" t="inlineStr">
        <is>
          <t>PELOTON* MEMBERSHIP</t>
        </is>
      </c>
      <c r="C76" s="16" t="n">
        <v>49.99</v>
      </c>
    </row>
    <row r="77">
      <c r="A77" s="14" t="n">
        <v>46178</v>
      </c>
      <c r="B77" s="15" t="inlineStr">
        <is>
          <t>PRIMO BRANDS/WATERSERV</t>
        </is>
      </c>
      <c r="C77" s="16" t="n">
        <v>282.1</v>
      </c>
    </row>
    <row r="78">
      <c r="A78" s="14" t="n">
        <v>46168</v>
      </c>
      <c r="B78" s="15" t="inlineStr">
        <is>
          <t>REI #11 SAN DIEGO</t>
        </is>
      </c>
      <c r="C78" s="16" t="n">
        <v>213.47</v>
      </c>
    </row>
    <row r="79">
      <c r="A79" s="14" t="n">
        <v>46175</v>
      </c>
      <c r="B79" s="15" t="inlineStr">
        <is>
          <t>TARGET 00027544</t>
        </is>
      </c>
      <c r="C79" s="16" t="n">
        <v>118.76</v>
      </c>
    </row>
    <row r="80">
      <c r="A80" s="14" t="n">
        <v>46175</v>
      </c>
      <c r="B80" s="15" t="inlineStr">
        <is>
          <t>THE HOME DEPOT #0668</t>
        </is>
      </c>
      <c r="C80" s="16" t="n">
        <v>827.3200000000001</v>
      </c>
    </row>
    <row r="81">
      <c r="A81" s="14" t="n">
        <v>46185</v>
      </c>
      <c r="B81" s="15" t="inlineStr">
        <is>
          <t>THE HOME DEPOT #6680</t>
        </is>
      </c>
      <c r="C81" s="16" t="n">
        <v>1045.17</v>
      </c>
    </row>
    <row r="82">
      <c r="A82" s="14" t="n">
        <v>46168</v>
      </c>
      <c r="B82" s="15" t="inlineStr">
        <is>
          <t>THE HOME DEPOT #6963</t>
        </is>
      </c>
      <c r="C82" s="16" t="n">
        <v>301.56</v>
      </c>
    </row>
    <row r="83">
      <c r="A83" s="14" t="n">
        <v>46183</v>
      </c>
      <c r="B83" s="15" t="inlineStr">
        <is>
          <t>THE SHERWIN-WILLIAMS C</t>
        </is>
      </c>
      <c r="C83" s="16" t="n">
        <v>161458.08</v>
      </c>
    </row>
    <row r="84">
      <c r="A84" s="14" t="n">
        <v>46189</v>
      </c>
      <c r="B84" s="15" t="inlineStr">
        <is>
          <t>TRADER JOE'S #142</t>
        </is>
      </c>
      <c r="C84" s="16" t="n">
        <v>87.31999999999999</v>
      </c>
    </row>
    <row r="85">
      <c r="A85" s="14" t="n">
        <v>46162</v>
      </c>
      <c r="B85" s="15" t="inlineStr">
        <is>
          <t>TRUTHFINDER</t>
        </is>
      </c>
      <c r="C85" s="16" t="n">
        <v>34.99</v>
      </c>
    </row>
    <row r="86">
      <c r="A86" s="14" t="n">
        <v>46183</v>
      </c>
      <c r="B86" s="15" t="inlineStr">
        <is>
          <t>VISTA PAINT CORP HQ</t>
        </is>
      </c>
      <c r="C86" s="16" t="n">
        <v>31458.47</v>
      </c>
    </row>
    <row r="87">
      <c r="A87" s="14" t="n">
        <v>46173</v>
      </c>
      <c r="B87" s="15" t="inlineStr">
        <is>
          <t>VONS #3160</t>
        </is>
      </c>
      <c r="C87" s="16" t="n">
        <v>74.22</v>
      </c>
    </row>
    <row r="88">
      <c r="A88" s="14" t="n">
        <v>46184</v>
      </c>
      <c r="B88" s="15" t="inlineStr">
        <is>
          <t>WALMART.COM 8009666</t>
        </is>
      </c>
      <c r="C88" s="16" t="n">
        <v>63.19</v>
      </c>
    </row>
    <row r="89">
      <c r="A89" s="14" t="n">
        <v>46185</v>
      </c>
      <c r="B89" s="15" t="inlineStr">
        <is>
          <t>WHOLEFDS HB 10269</t>
        </is>
      </c>
      <c r="C89" s="16" t="n">
        <v>94.56999999999999</v>
      </c>
    </row>
    <row r="90">
      <c r="A90" s="17" t="inlineStr">
        <is>
          <t>Merchandise Total</t>
        </is>
      </c>
      <c r="B90" s="18" t="n"/>
      <c r="C90" s="19">
        <f>SUM(C65:C89)</f>
        <v/>
      </c>
      <c r="D90" s="19">
        <f>SUM(D65:D89)</f>
        <v/>
      </c>
    </row>
    <row r="92">
      <c r="A92" s="5" t="inlineStr">
        <is>
          <t>Other</t>
        </is>
      </c>
      <c r="B92" s="6" t="n"/>
      <c r="C92" s="6" t="n"/>
      <c r="D92" s="6" t="n"/>
    </row>
    <row r="93">
      <c r="A93" s="14" t="n">
        <v>46165</v>
      </c>
      <c r="B93" s="15" t="inlineStr">
        <is>
          <t>CITY OF REDLANDS</t>
        </is>
      </c>
      <c r="C93" s="16" t="n">
        <v>110</v>
      </c>
    </row>
    <row r="94">
      <c r="A94" s="14" t="n">
        <v>46177</v>
      </c>
      <c r="B94" s="15" t="inlineStr">
        <is>
          <t>MASTERCLASS.COM/CHARGE</t>
        </is>
      </c>
      <c r="C94" s="16" t="n">
        <v>339.15</v>
      </c>
    </row>
    <row r="95">
      <c r="A95" s="14" t="n">
        <v>46188</v>
      </c>
      <c r="B95" s="15" t="inlineStr">
        <is>
          <t>NETFLIX.COM</t>
        </is>
      </c>
      <c r="C95" s="16" t="n">
        <v>15.49</v>
      </c>
    </row>
    <row r="96">
      <c r="A96" s="17" t="inlineStr">
        <is>
          <t>Other Total</t>
        </is>
      </c>
      <c r="B96" s="18" t="n"/>
      <c r="C96" s="19">
        <f>SUM(C93:C95)</f>
        <v/>
      </c>
      <c r="D96" s="19">
        <f>SUM(D93:D95)</f>
        <v/>
      </c>
    </row>
    <row r="98">
      <c r="A98" s="5" t="inlineStr">
        <is>
          <t>Other Services</t>
        </is>
      </c>
      <c r="B98" s="6" t="n"/>
      <c r="C98" s="6" t="n"/>
      <c r="D98" s="6" t="n"/>
    </row>
    <row r="99">
      <c r="A99" s="14" t="n">
        <v>46181</v>
      </c>
      <c r="B99" s="15" t="inlineStr">
        <is>
          <t>CA DMV FEE</t>
        </is>
      </c>
      <c r="C99" s="16" t="n">
        <v>31.26</v>
      </c>
    </row>
    <row r="100">
      <c r="A100" s="14" t="n">
        <v>46169</v>
      </c>
      <c r="B100" s="15" t="inlineStr">
        <is>
          <t>CHARITY GOLF GAME</t>
        </is>
      </c>
      <c r="C100" s="16" t="n">
        <v>150</v>
      </c>
    </row>
    <row r="101">
      <c r="A101" s="14" t="n">
        <v>46177</v>
      </c>
      <c r="B101" s="15" t="inlineStr">
        <is>
          <t>CITY OF HOPE</t>
        </is>
      </c>
      <c r="C101" s="16" t="n">
        <v>1000</v>
      </c>
    </row>
    <row r="102">
      <c r="A102" s="14" t="n">
        <v>46168</v>
      </c>
      <c r="B102" s="15" t="inlineStr">
        <is>
          <t>CITY OF NB</t>
        </is>
      </c>
      <c r="C102" s="16" t="n">
        <v>221</v>
      </c>
    </row>
    <row r="103">
      <c r="A103" s="14" t="n">
        <v>46175</v>
      </c>
      <c r="B103" s="15" t="inlineStr">
        <is>
          <t>IN *ADVENT PACKAGING</t>
        </is>
      </c>
      <c r="C103" s="16" t="n">
        <v>14429.6</v>
      </c>
    </row>
    <row r="104">
      <c r="A104" s="14" t="n">
        <v>46168</v>
      </c>
      <c r="B104" s="15" t="inlineStr">
        <is>
          <t>OBP*SVC FEE SAN DIEGO</t>
        </is>
      </c>
      <c r="C104" s="16" t="n">
        <v>1.55</v>
      </c>
    </row>
    <row r="105">
      <c r="A105" s="14" t="n">
        <v>46181</v>
      </c>
      <c r="B105" s="15" t="inlineStr">
        <is>
          <t>STATE OF CALIF DMV INT</t>
        </is>
      </c>
      <c r="C105" s="16" t="n">
        <v>3067</v>
      </c>
    </row>
    <row r="106">
      <c r="A106" s="14" t="n">
        <v>46185</v>
      </c>
      <c r="B106" s="15" t="inlineStr">
        <is>
          <t>STERICYCLE, INC</t>
        </is>
      </c>
      <c r="C106" s="16" t="n">
        <v>120</v>
      </c>
    </row>
    <row r="107">
      <c r="A107" s="14" t="n">
        <v>46173</v>
      </c>
      <c r="B107" s="15" t="inlineStr">
        <is>
          <t>THE UPS STORE 4821</t>
        </is>
      </c>
      <c r="C107" s="16" t="n">
        <v>42.15</v>
      </c>
    </row>
    <row r="108">
      <c r="A108" s="14" t="n">
        <v>46174</v>
      </c>
      <c r="B108" s="15" t="inlineStr">
        <is>
          <t>USPS PO 0562340138</t>
        </is>
      </c>
      <c r="C108" s="16" t="n">
        <v>8.6</v>
      </c>
    </row>
    <row r="109">
      <c r="A109" s="14" t="n">
        <v>46174</v>
      </c>
      <c r="B109" s="15" t="inlineStr">
        <is>
          <t>WILD BILL'S SPRAY EQUI</t>
        </is>
      </c>
      <c r="C109" s="16" t="n">
        <v>1241.19</v>
      </c>
    </row>
    <row r="110">
      <c r="A110" s="14" t="n">
        <v>46161</v>
      </c>
      <c r="B110" s="15" t="inlineStr">
        <is>
          <t>YORBA LINDA BUSINESS L</t>
        </is>
      </c>
      <c r="C110" s="16" t="n">
        <v>104</v>
      </c>
    </row>
    <row r="111">
      <c r="A111" s="17" t="inlineStr">
        <is>
          <t>Other Services Total</t>
        </is>
      </c>
      <c r="B111" s="18" t="n"/>
      <c r="C111" s="19">
        <f>SUM(C99:C110)</f>
        <v/>
      </c>
      <c r="D111" s="19">
        <f>SUM(D99:D110)</f>
        <v/>
      </c>
    </row>
    <row r="113">
      <c r="A113" s="5" t="inlineStr">
        <is>
          <t>Other Travel</t>
        </is>
      </c>
      <c r="B113" s="6" t="n"/>
      <c r="C113" s="6" t="n"/>
      <c r="D113" s="6" t="n"/>
    </row>
    <row r="114">
      <c r="A114" s="14" t="n">
        <v>46162</v>
      </c>
      <c r="B114" s="15" t="inlineStr">
        <is>
          <t>AA *AMERICAN AIR REFUND</t>
        </is>
      </c>
      <c r="D114" s="16" t="n">
        <v>412.3</v>
      </c>
    </row>
    <row r="115">
      <c r="A115" s="14" t="n">
        <v>46185</v>
      </c>
      <c r="B115" s="15" t="inlineStr">
        <is>
          <t>DELTA AIR 0062471559</t>
        </is>
      </c>
      <c r="C115" s="16" t="n">
        <v>689.4</v>
      </c>
    </row>
    <row r="116">
      <c r="A116" s="14" t="n">
        <v>46174</v>
      </c>
      <c r="B116" s="15" t="inlineStr">
        <is>
          <t>SEAWORLD SD PARKINGQPS</t>
        </is>
      </c>
      <c r="C116" s="16" t="n">
        <v>80</v>
      </c>
    </row>
    <row r="117">
      <c r="A117" s="14" t="n">
        <v>46172</v>
      </c>
      <c r="B117" s="15" t="inlineStr">
        <is>
          <t>SOUTHWES 5262178901234</t>
        </is>
      </c>
      <c r="C117" s="16" t="n">
        <v>458.96</v>
      </c>
    </row>
    <row r="118">
      <c r="A118" s="14" t="n">
        <v>46161</v>
      </c>
      <c r="B118" s="15" t="inlineStr">
        <is>
          <t>UBER *ONE MEMBERSHIP</t>
        </is>
      </c>
      <c r="C118" s="16" t="n">
        <v>9.99</v>
      </c>
    </row>
    <row r="119">
      <c r="A119" s="14" t="n">
        <v>46184</v>
      </c>
      <c r="B119" s="15" t="inlineStr">
        <is>
          <t>UBER *TRIP HELP.UBER</t>
        </is>
      </c>
      <c r="C119" s="16" t="n">
        <v>27.43</v>
      </c>
    </row>
    <row r="120">
      <c r="A120" s="17" t="inlineStr">
        <is>
          <t>Other Travel Total</t>
        </is>
      </c>
      <c r="B120" s="18" t="n"/>
      <c r="C120" s="19">
        <f>SUM(C114:C119)</f>
        <v/>
      </c>
      <c r="D120" s="19">
        <f>SUM(D114:D119)</f>
        <v/>
      </c>
    </row>
    <row r="122">
      <c r="A122" s="5" t="inlineStr">
        <is>
          <t>Payment/Credit</t>
        </is>
      </c>
      <c r="B122" s="6" t="n"/>
      <c r="C122" s="6" t="n"/>
      <c r="D122" s="6" t="n"/>
    </row>
    <row r="123">
      <c r="A123" s="14" t="n">
        <v>46183</v>
      </c>
      <c r="B123" s="15" t="inlineStr">
        <is>
          <t>CAPITAL ONE ONLINE PYMT</t>
        </is>
      </c>
      <c r="D123" s="16" t="n">
        <v>208067.42</v>
      </c>
    </row>
    <row r="124">
      <c r="A124" s="14" t="n">
        <v>46170</v>
      </c>
      <c r="B124" s="15" t="inlineStr">
        <is>
          <t>VENMO *PAYMENT</t>
        </is>
      </c>
      <c r="D124" s="16" t="n">
        <v>150</v>
      </c>
    </row>
    <row r="125">
      <c r="A125" s="14" t="n">
        <v>46158</v>
      </c>
      <c r="B125" s="15" t="inlineStr">
        <is>
          <t>ZELLE PAYMENT RECEIVED</t>
        </is>
      </c>
      <c r="D125" s="16" t="n">
        <v>500</v>
      </c>
    </row>
    <row r="126">
      <c r="A126" s="17" t="inlineStr">
        <is>
          <t>Payment/Credit Total</t>
        </is>
      </c>
      <c r="B126" s="18" t="n"/>
      <c r="C126" s="19">
        <f>SUM(C123:C125)</f>
        <v/>
      </c>
      <c r="D126" s="19">
        <f>SUM(D123:D125)</f>
        <v/>
      </c>
    </row>
    <row r="128">
      <c r="A128" s="5" t="inlineStr">
        <is>
          <t>Professional Services</t>
        </is>
      </c>
      <c r="B128" s="6" t="n"/>
      <c r="C128" s="6" t="n"/>
      <c r="D128" s="6" t="n"/>
    </row>
    <row r="129">
      <c r="A129" s="14" t="n">
        <v>46185</v>
      </c>
      <c r="B129" s="15" t="inlineStr">
        <is>
          <t>JACKSON LEWIS P.C.</t>
        </is>
      </c>
      <c r="C129" s="16" t="n">
        <v>264</v>
      </c>
    </row>
    <row r="130">
      <c r="A130" s="14" t="n">
        <v>46174</v>
      </c>
      <c r="B130" s="15" t="inlineStr">
        <is>
          <t>SQ *HUNTINGTON BEACH P</t>
        </is>
      </c>
      <c r="C130" s="16" t="n">
        <v>675</v>
      </c>
    </row>
    <row r="131">
      <c r="A131" s="17" t="inlineStr">
        <is>
          <t>Professional Services Total</t>
        </is>
      </c>
      <c r="B131" s="18" t="n"/>
      <c r="C131" s="19">
        <f>SUM(C129:C130)</f>
        <v/>
      </c>
      <c r="D131" s="19">
        <f>SUM(D129:D130)</f>
        <v/>
      </c>
    </row>
    <row r="133">
      <c r="A133" s="20" t="inlineStr">
        <is>
          <t>Grand Total</t>
        </is>
      </c>
      <c r="B133" s="21" t="n"/>
      <c r="C133" s="22">
        <f>SUM(C11,C23,C36,C43,C47,C56,C62,C90,C96,C111,C120,C126,C131)</f>
        <v/>
      </c>
      <c r="D133" s="22">
        <f>SUM(D11,D23,D36,D43,D47,D56,D62,D90,D96,D111,D120,D126,D131)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2026-07-07T22:35:41Z</dcterms:created>
  <dcterms:modified xsi:type="dcterms:W3CDTF">2026-07-07T22:35:41Z</dcterms:modified>
</cp:coreProperties>
</file>