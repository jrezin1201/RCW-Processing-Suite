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20" customWidth="1" min="9" max="9"/>
    <col width="20" customWidth="1" min="10" max="10"/>
    <col width="12" customWidth="1" min="11" max="11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EXTERIOR</t>
        </is>
      </c>
      <c r="E3" s="3" t="inlineStr">
        <is>
          <t>BASE SHOE</t>
        </is>
      </c>
      <c r="F3" s="3" t="inlineStr">
        <is>
          <t>ROLL WALLS FINAL</t>
        </is>
      </c>
      <c r="G3" s="3" t="inlineStr">
        <is>
          <t>TOUCH UP</t>
        </is>
      </c>
      <c r="H3" s="3" t="inlineStr">
        <is>
          <t>INT KS &amp; BS / CEILINGS / WALLS</t>
        </is>
      </c>
      <c r="I3" s="3" t="inlineStr">
        <is>
          <t>EXT SPRAY OVERHANG</t>
        </is>
      </c>
      <c r="J3" s="3" t="inlineStr">
        <is>
          <t>INT UNDERCOAT / SAND &amp; CHECK</t>
        </is>
      </c>
      <c r="K3" s="4" t="inlineStr">
        <is>
          <t>Total</t>
        </is>
      </c>
    </row>
    <row r="4">
      <c r="A4" s="5" t="n">
        <v>1</v>
      </c>
      <c r="B4" s="5" t="inlineStr">
        <is>
          <t>150/MAP NO 16534</t>
        </is>
      </c>
      <c r="C4" s="5" t="inlineStr">
        <is>
          <t>3C</t>
        </is>
      </c>
      <c r="D4" s="6" t="n">
        <v>0</v>
      </c>
      <c r="E4" s="6" t="n">
        <v>7207.45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7">
        <f>SUM(D4:J4)</f>
        <v/>
      </c>
    </row>
    <row r="5">
      <c r="A5" s="5" t="n">
        <v>2</v>
      </c>
      <c r="B5" s="5" t="inlineStr">
        <is>
          <t>BD80/MAP NO 16534</t>
        </is>
      </c>
      <c r="C5" s="5" t="inlineStr">
        <is>
          <t>B00DC</t>
        </is>
      </c>
      <c r="D5" s="6" t="n">
        <v>2501.25</v>
      </c>
      <c r="E5" s="6" t="n">
        <v>0</v>
      </c>
      <c r="F5" s="6" t="n">
        <v>1500.75</v>
      </c>
      <c r="G5" s="6" t="n">
        <v>500.25</v>
      </c>
      <c r="H5" s="6" t="n">
        <v>0</v>
      </c>
      <c r="I5" s="6" t="n">
        <v>0</v>
      </c>
      <c r="J5" s="6" t="n">
        <v>7223</v>
      </c>
      <c r="K5" s="7">
        <f>SUM(D5:J5)</f>
        <v/>
      </c>
    </row>
    <row r="6">
      <c r="A6" s="5" t="n">
        <v>3</v>
      </c>
      <c r="B6" s="5" t="inlineStr">
        <is>
          <t>151/MAP NO 16534</t>
        </is>
      </c>
      <c r="C6" s="5" t="inlineStr">
        <is>
          <t>4C</t>
        </is>
      </c>
      <c r="D6" s="6" t="n">
        <v>0</v>
      </c>
      <c r="E6" s="6" t="n">
        <v>744.3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7">
        <f>SUM(D6:J6)</f>
        <v/>
      </c>
    </row>
    <row r="7">
      <c r="K7" s="8" t="n"/>
    </row>
    <row r="8">
      <c r="J8" s="1" t="inlineStr">
        <is>
          <t>TOTAL</t>
        </is>
      </c>
      <c r="K8" s="9">
        <f>SUM(K4:K6)</f>
        <v/>
      </c>
    </row>
    <row r="9">
      <c r="K9" s="8" t="n"/>
    </row>
    <row r="10">
      <c r="K10" s="8" t="n"/>
    </row>
    <row r="11">
      <c r="D11" s="5" t="inlineStr">
        <is>
          <t>LABOR:</t>
        </is>
      </c>
      <c r="E11" s="6">
        <f>K8*0.43</f>
        <v/>
      </c>
      <c r="G11" s="5" t="inlineStr">
        <is>
          <t>Will be 43% of total amount</t>
        </is>
      </c>
      <c r="K11" s="8" t="n"/>
    </row>
    <row r="12">
      <c r="K12" s="8" t="n"/>
    </row>
    <row r="13">
      <c r="D13" s="5" t="inlineStr">
        <is>
          <t>MATERIAL:</t>
        </is>
      </c>
      <c r="E13" s="6">
        <f>K8*0.28</f>
        <v/>
      </c>
      <c r="G13" s="5" t="inlineStr">
        <is>
          <t>will be 28% of total amount</t>
        </is>
      </c>
      <c r="K13" s="8" t="n"/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14</v>
      </c>
    </row>
    <row r="3">
      <c r="A3" s="5" t="inlineStr">
        <is>
          <t>Rows Parsed:</t>
        </is>
      </c>
      <c r="B3" s="5" t="n">
        <v>13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6</v>
      </c>
    </row>
    <row r="8">
      <c r="A8" s="5" t="inlineStr">
        <is>
          <t>EXT SPRAY OVERHANG</t>
        </is>
      </c>
      <c r="B8" s="5" t="n">
        <v>1</v>
      </c>
      <c r="C8" s="5" t="inlineStr">
        <is>
          <t>(auto-created)</t>
        </is>
      </c>
    </row>
    <row r="9">
      <c r="A9" s="5" t="inlineStr">
        <is>
          <t>EXTERIOR</t>
        </is>
      </c>
      <c r="B9" s="5" t="n">
        <v>1</v>
      </c>
    </row>
    <row r="10">
      <c r="A10" s="5" t="inlineStr">
        <is>
          <t>INT KS &amp; BS / CEILINGS / WALLS</t>
        </is>
      </c>
      <c r="B10" s="5" t="n">
        <v>1</v>
      </c>
      <c r="C10" s="5" t="inlineStr">
        <is>
          <t>(auto-created)</t>
        </is>
      </c>
    </row>
    <row r="11">
      <c r="A11" s="5" t="inlineStr">
        <is>
          <t>INT UNDERCOAT / SAND &amp; CHECK</t>
        </is>
      </c>
      <c r="B11" s="5" t="n">
        <v>2</v>
      </c>
      <c r="C11" s="5" t="inlineStr">
        <is>
          <t>(auto-created)</t>
        </is>
      </c>
    </row>
    <row r="12">
      <c r="A12" s="5" t="inlineStr">
        <is>
          <t>ROLL WALLS FINAL</t>
        </is>
      </c>
      <c r="B12" s="5" t="n">
        <v>1</v>
      </c>
    </row>
    <row r="13">
      <c r="A13" s="5" t="inlineStr">
        <is>
          <t>TOUCH UP</t>
        </is>
      </c>
      <c r="B13" s="5" t="n">
        <v>1</v>
      </c>
    </row>
    <row r="15">
      <c r="A15" s="1" t="inlineStr">
        <is>
          <t>Auto-Created Categories</t>
        </is>
      </c>
    </row>
    <row r="16">
      <c r="A16" s="5" t="inlineStr">
        <is>
          <t>INT KS &amp; BS / CEILINGS / WALLS</t>
        </is>
      </c>
      <c r="B16" s="5" t="inlineStr">
        <is>
          <t>1 rows</t>
        </is>
      </c>
    </row>
    <row r="17">
      <c r="B17" s="5" t="inlineStr">
        <is>
          <t xml:space="preserve">  - Painting - Ks &amp; Bs / Ceilings / Walls (INT)  [LS]...</t>
        </is>
      </c>
    </row>
    <row r="18">
      <c r="B18" s="5" t="inlineStr">
        <is>
          <t xml:space="preserve">  - Painting - Ks &amp; Bs / Ceilings / Walls (INT)  [LS]...</t>
        </is>
      </c>
    </row>
    <row r="19">
      <c r="A19" s="5" t="inlineStr">
        <is>
          <t>EXT SPRAY OVERHANG</t>
        </is>
      </c>
      <c r="B19" s="5" t="inlineStr">
        <is>
          <t>1 rows</t>
        </is>
      </c>
    </row>
    <row r="20">
      <c r="B20" s="5" t="inlineStr">
        <is>
          <t xml:space="preserve">  - Painting - Spray Overhang (EXT) [LS]...</t>
        </is>
      </c>
    </row>
    <row r="21">
      <c r="B21" s="5" t="inlineStr">
        <is>
          <t xml:space="preserve">  - Painting - Spray Overhang (EXT) [LS]...</t>
        </is>
      </c>
    </row>
    <row r="22">
      <c r="A22" s="5" t="inlineStr">
        <is>
          <t>INT UNDERCOAT / SAND &amp; CHECK</t>
        </is>
      </c>
      <c r="B22" s="5" t="inlineStr">
        <is>
          <t>2 rows</t>
        </is>
      </c>
    </row>
    <row r="23">
      <c r="B23" s="5" t="inlineStr">
        <is>
          <t xml:space="preserve">  - PAINTING - UNDERCOAT / SAND &amp; CHECK / ENAMEL / BLOCK OUT (437205) (INT) (MS08) [...</t>
        </is>
      </c>
    </row>
    <row r="24">
      <c r="B24" s="5" t="inlineStr">
        <is>
          <t xml:space="preserve">  - PAINTING - UNDERCOAT / SAND &amp; CHECK / ENAMEL / BLOCK OUT (437205) (INT) (MS08) [...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2026-02-07T02:25:50Z</dcterms:created>
  <dcterms:modified xsi:type="dcterms:W3CDTF">2026-02-07T02:25:50Z</dcterms:modified>
</cp:coreProperties>
</file>