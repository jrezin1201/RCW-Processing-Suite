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12" customWidth="1" min="13" max="13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EXTERIOR</t>
        </is>
      </c>
      <c r="E3" s="3" t="inlineStr">
        <is>
          <t>BASE SHOE</t>
        </is>
      </c>
      <c r="F3" s="3" t="inlineStr">
        <is>
          <t>INT BASE SHOE (FLOORING ORDERS) UA</t>
        </is>
      </c>
      <c r="G3" s="3" t="inlineStr">
        <is>
          <t>ROLL WALLS FINAL</t>
        </is>
      </c>
      <c r="H3" s="3" t="inlineStr">
        <is>
          <t>TOUCH UP</t>
        </is>
      </c>
      <c r="I3" s="3" t="inlineStr">
        <is>
          <t>INT KS &amp; BS / CEILINGS / WALLS</t>
        </is>
      </c>
      <c r="J3" s="3" t="inlineStr">
        <is>
          <t>EXT SPRAY OVERHANG</t>
        </is>
      </c>
      <c r="K3" s="3" t="inlineStr">
        <is>
          <t>INT UNDERCOAT / SAND &amp; CHECK</t>
        </is>
      </c>
      <c r="L3" s="3" t="inlineStr">
        <is>
          <t>INT UNDERCOAT / SAND &amp; CHECK UA</t>
        </is>
      </c>
      <c r="M3" s="4" t="inlineStr">
        <is>
          <t>Total</t>
        </is>
      </c>
    </row>
    <row r="4">
      <c r="A4" s="5" t="n">
        <v>1</v>
      </c>
      <c r="B4" s="5" t="inlineStr">
        <is>
          <t>150/MAP NO 16534</t>
        </is>
      </c>
      <c r="C4" s="5" t="inlineStr">
        <is>
          <t>3C</t>
        </is>
      </c>
      <c r="D4" s="6" t="n">
        <v>0</v>
      </c>
      <c r="E4" s="6" t="n">
        <v>207.45</v>
      </c>
      <c r="F4" s="6" t="n">
        <v>7000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7">
        <f>SUM(D4:L4)</f>
        <v/>
      </c>
    </row>
    <row r="5">
      <c r="A5" s="5" t="n">
        <v>2</v>
      </c>
      <c r="B5" s="5" t="inlineStr">
        <is>
          <t>BD80/MAP NO 16534</t>
        </is>
      </c>
      <c r="C5" s="5" t="inlineStr">
        <is>
          <t>B00DC</t>
        </is>
      </c>
      <c r="D5" s="6" t="n">
        <v>2501.25</v>
      </c>
      <c r="E5" s="6" t="n">
        <v>0</v>
      </c>
      <c r="F5" s="6" t="n">
        <v>0</v>
      </c>
      <c r="G5" s="6" t="n">
        <v>1500.75</v>
      </c>
      <c r="H5" s="6" t="n">
        <v>500.25</v>
      </c>
      <c r="I5" s="6" t="n">
        <v>0</v>
      </c>
      <c r="J5" s="6" t="n">
        <v>0</v>
      </c>
      <c r="K5" s="6" t="n">
        <v>3611.5</v>
      </c>
      <c r="L5" s="6" t="n">
        <v>3611.5</v>
      </c>
      <c r="M5" s="7">
        <f>SUM(D5:L5)</f>
        <v/>
      </c>
    </row>
    <row r="6">
      <c r="A6" s="5" t="n">
        <v>3</v>
      </c>
      <c r="B6" s="5" t="inlineStr">
        <is>
          <t>151/MAP NO 16534</t>
        </is>
      </c>
      <c r="C6" s="5" t="inlineStr">
        <is>
          <t>4C</t>
        </is>
      </c>
      <c r="D6" s="6" t="n">
        <v>0</v>
      </c>
      <c r="E6" s="6" t="n">
        <v>372.15</v>
      </c>
      <c r="F6" s="6" t="n">
        <v>372.15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7">
        <f>SUM(D6:L6)</f>
        <v/>
      </c>
    </row>
    <row r="7">
      <c r="M7" s="8" t="n"/>
    </row>
    <row r="8">
      <c r="L8" s="1" t="inlineStr">
        <is>
          <t>TOTAL</t>
        </is>
      </c>
      <c r="M8" s="9">
        <f>SUM(M4:M6)</f>
        <v/>
      </c>
    </row>
    <row r="9">
      <c r="M9" s="8" t="n"/>
    </row>
    <row r="10">
      <c r="M10" s="8" t="n"/>
    </row>
    <row r="11">
      <c r="D11" s="5" t="inlineStr">
        <is>
          <t>LABOR:</t>
        </is>
      </c>
      <c r="E11" s="6">
        <f>M8*0.43</f>
        <v/>
      </c>
      <c r="G11" s="5" t="inlineStr">
        <is>
          <t>Will be 43% of total amount</t>
        </is>
      </c>
      <c r="M11" s="8" t="n"/>
    </row>
    <row r="12">
      <c r="M12" s="8" t="n"/>
    </row>
    <row r="13">
      <c r="D13" s="5" t="inlineStr">
        <is>
          <t>MATERIAL:</t>
        </is>
      </c>
      <c r="E13" s="6">
        <f>M8*0.28</f>
        <v/>
      </c>
      <c r="G13" s="5" t="inlineStr">
        <is>
          <t>will be 28% of total amount</t>
        </is>
      </c>
      <c r="M13" s="8" t="n"/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14</v>
      </c>
    </row>
    <row r="3">
      <c r="A3" s="5" t="inlineStr">
        <is>
          <t>Rows Parsed:</t>
        </is>
      </c>
      <c r="B3" s="5" t="n">
        <v>13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4</v>
      </c>
    </row>
    <row r="8">
      <c r="A8" s="5" t="inlineStr">
        <is>
          <t>EXT SPRAY OVERHANG</t>
        </is>
      </c>
      <c r="B8" s="5" t="n">
        <v>1</v>
      </c>
      <c r="C8" s="5" t="inlineStr">
        <is>
          <t>(auto-created)</t>
        </is>
      </c>
    </row>
    <row r="9">
      <c r="A9" s="5" t="inlineStr">
        <is>
          <t>EXTERIOR</t>
        </is>
      </c>
      <c r="B9" s="5" t="n">
        <v>1</v>
      </c>
    </row>
    <row r="10">
      <c r="A10" s="5" t="inlineStr">
        <is>
          <t>INT BASE SHOE (FLOORING ORDERS) UA</t>
        </is>
      </c>
      <c r="B10" s="5" t="n">
        <v>2</v>
      </c>
      <c r="C10" s="5" t="inlineStr">
        <is>
          <t>(auto-created)</t>
        </is>
      </c>
    </row>
    <row r="11">
      <c r="A11" s="5" t="inlineStr">
        <is>
          <t>INT KS &amp; BS / CEILINGS / WALLS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INT UNDERCOAT / SAND &amp; CHECK</t>
        </is>
      </c>
      <c r="B12" s="5" t="n">
        <v>1</v>
      </c>
      <c r="C12" s="5" t="inlineStr">
        <is>
          <t>(auto-created)</t>
        </is>
      </c>
    </row>
    <row r="13">
      <c r="A13" s="5" t="inlineStr">
        <is>
          <t>INT UNDERCOAT / SAND &amp; CHECK UA</t>
        </is>
      </c>
      <c r="B13" s="5" t="n">
        <v>1</v>
      </c>
      <c r="C13" s="5" t="inlineStr">
        <is>
          <t>(auto-created)</t>
        </is>
      </c>
    </row>
    <row r="14">
      <c r="A14" s="5" t="inlineStr">
        <is>
          <t>ROLL WALLS FINAL</t>
        </is>
      </c>
      <c r="B14" s="5" t="n">
        <v>1</v>
      </c>
    </row>
    <row r="15">
      <c r="A15" s="5" t="inlineStr">
        <is>
          <t>TOUCH UP</t>
        </is>
      </c>
      <c r="B15" s="5" t="n">
        <v>1</v>
      </c>
    </row>
    <row r="17">
      <c r="A17" s="1" t="inlineStr">
        <is>
          <t>Auto-Created Categories</t>
        </is>
      </c>
    </row>
    <row r="18">
      <c r="A18" s="5" t="inlineStr">
        <is>
          <t>INT KS &amp; BS / CEILINGS / WALLS</t>
        </is>
      </c>
      <c r="B18" s="5" t="inlineStr">
        <is>
          <t>1 rows</t>
        </is>
      </c>
    </row>
    <row r="19">
      <c r="B19" s="5" t="inlineStr">
        <is>
          <t xml:space="preserve">  - Painting - Ks &amp; Bs / Ceilings / Walls (INT)  [LS]...</t>
        </is>
      </c>
    </row>
    <row r="20">
      <c r="B20" s="5" t="inlineStr">
        <is>
          <t xml:space="preserve">  - Painting - Ks &amp; Bs / Ceilings / Walls (INT)  [LS]...</t>
        </is>
      </c>
    </row>
    <row r="21">
      <c r="A21" s="5" t="inlineStr">
        <is>
          <t>EXT SPRAY OVERHANG</t>
        </is>
      </c>
      <c r="B21" s="5" t="inlineStr">
        <is>
          <t>1 rows</t>
        </is>
      </c>
    </row>
    <row r="22">
      <c r="B22" s="5" t="inlineStr">
        <is>
          <t xml:space="preserve">  - Painting - Spray Overhang (EXT) [LS]...</t>
        </is>
      </c>
    </row>
    <row r="23">
      <c r="B23" s="5" t="inlineStr">
        <is>
          <t xml:space="preserve">  - Painting - Spray Overhang (EXT) [LS]...</t>
        </is>
      </c>
    </row>
    <row r="24">
      <c r="A24" s="5" t="inlineStr">
        <is>
          <t>INT UNDERCOAT / SAND &amp; CHECK</t>
        </is>
      </c>
      <c r="B24" s="5" t="inlineStr">
        <is>
          <t>1 rows</t>
        </is>
      </c>
    </row>
    <row r="25">
      <c r="B25" s="5" t="inlineStr">
        <is>
          <t xml:space="preserve">  - PAINTING - UNDERCOAT / SAND &amp; CHECK / ENAMEL / BLOCK OUT (437205) (INT) (MS08) [...</t>
        </is>
      </c>
    </row>
    <row r="26">
      <c r="B26" s="5" t="inlineStr">
        <is>
          <t xml:space="preserve">  - PAINTING - UNDERCOAT / SAND &amp; CHECK / ENAMEL / BLOCK OUT (437205) (INT) (MS08) [...</t>
        </is>
      </c>
    </row>
    <row r="27">
      <c r="A27" s="5" t="inlineStr">
        <is>
          <t>INT BASE SHOE (FLOORING ORDERS) UA</t>
        </is>
      </c>
      <c r="B27" s="5" t="inlineStr">
        <is>
          <t>2 rows</t>
        </is>
      </c>
    </row>
    <row r="28">
      <c r="B28" s="5" t="inlineStr">
        <is>
          <t xml:space="preserve">  - Painting - Base Shoe (Flooring Orders) (455240) (INT) [LS] [10209561 - 22910101-...</t>
        </is>
      </c>
    </row>
    <row r="29">
      <c r="B29" s="5" t="inlineStr">
        <is>
          <t xml:space="preserve">  - Painting - Base Shoe (Flooring Orders) (455240) (INT) [LS] [10209561 - 22910101-...</t>
        </is>
      </c>
    </row>
    <row r="30">
      <c r="A30" s="5" t="inlineStr">
        <is>
          <t>INT UNDERCOAT / SAND &amp; CHECK UA</t>
        </is>
      </c>
      <c r="B30" s="5" t="inlineStr">
        <is>
          <t>1 rows</t>
        </is>
      </c>
    </row>
    <row r="31">
      <c r="B31" s="5" t="inlineStr">
        <is>
          <t xml:space="preserve">  - PAINTING - UNDERCOAT / SAND &amp; CHECK / ENAMEL / BLOCK OUT (437205) (INT) [UA] (MS...</t>
        </is>
      </c>
    </row>
    <row r="32">
      <c r="B32" s="5" t="inlineStr">
        <is>
          <t xml:space="preserve">  - PAINTING - UNDERCOAT / SAND &amp; CHECK / ENAMEL / BLOCK OUT (437205) (INT) [UA] (MS...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2026-02-07T07:35:18Z</dcterms:created>
  <dcterms:modified xsi:type="dcterms:W3CDTF">2026-02-07T07:35:18Z</dcterms:modified>
</cp:coreProperties>
</file>