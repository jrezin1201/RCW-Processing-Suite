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8" customWidth="1" min="9" max="9"/>
    <col width="12" customWidth="1" min="10" max="10"/>
    <col width="13" customWidth="1" min="11" max="11"/>
    <col width="12" customWidth="1" min="12" max="12"/>
    <col width="20" customWidth="1" min="13" max="13"/>
    <col width="20" customWidth="1" min="14" max="14"/>
    <col width="20" customWidth="1" min="15" max="15"/>
    <col width="12" customWidth="1" min="16" max="16"/>
  </cols>
  <sheetData>
    <row r="1">
      <c r="B1" s="1" t="inlineStr">
        <is>
          <t>Project Name: Ridgeview</t>
        </is>
      </c>
      <c r="G1" s="1" t="inlineStr">
        <is>
          <t>Phase:3</t>
        </is>
      </c>
      <c r="H1" s="2" t="inlineStr">
        <is>
          <t>HS 0021-0024 (JAN)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BASE SHOE</t>
        </is>
      </c>
      <c r="I3" s="3" t="inlineStr">
        <is>
          <t>ROLL WALLS FINAL</t>
        </is>
      </c>
      <c r="J3" s="3" t="inlineStr">
        <is>
          <t>TOUCH UP</t>
        </is>
      </c>
      <c r="K3" s="3" t="inlineStr">
        <is>
          <t>Q4 REVERSAL</t>
        </is>
      </c>
      <c r="L3" s="3" t="inlineStr">
        <is>
          <t>TASK</t>
        </is>
      </c>
      <c r="M3" s="3" t="inlineStr">
        <is>
          <t>INT KITCHEN, BATH &amp; LIDS</t>
        </is>
      </c>
      <c r="N3" s="3" t="inlineStr">
        <is>
          <t>INT KITCHEN, BATH &amp; LIDS 2</t>
        </is>
      </c>
      <c r="O3" s="3" t="inlineStr">
        <is>
          <t>INT KITCHEN, BATH &amp; LIDS 3</t>
        </is>
      </c>
      <c r="P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7">
        <f>SUM(D4:O4)</f>
        <v/>
      </c>
    </row>
    <row r="5">
      <c r="A5" s="5" t="n">
        <v>2</v>
      </c>
      <c r="B5" s="5" t="n">
        <v>21</v>
      </c>
      <c r="C5" s="5" t="inlineStr">
        <is>
          <t>1A</t>
        </is>
      </c>
      <c r="D5" s="6" t="n">
        <v>1425</v>
      </c>
      <c r="E5" s="6" t="n">
        <v>1389.5</v>
      </c>
      <c r="F5" s="6" t="n">
        <v>985</v>
      </c>
      <c r="G5" s="6" t="n">
        <v>3850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7">
        <f>SUM(D5:O5)</f>
        <v/>
      </c>
    </row>
    <row r="6">
      <c r="A6" s="5" t="n">
        <v>3</v>
      </c>
      <c r="B6" s="5" t="n">
        <v>22</v>
      </c>
      <c r="C6" s="5" t="inlineStr">
        <is>
          <t>2B</t>
        </is>
      </c>
      <c r="D6" s="6" t="n">
        <v>1198.75</v>
      </c>
      <c r="E6" s="6" t="n">
        <v>1165.25</v>
      </c>
      <c r="F6" s="6" t="n">
        <v>0</v>
      </c>
      <c r="G6" s="6" t="n">
        <v>3195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7">
        <f>SUM(D6:O6)</f>
        <v/>
      </c>
    </row>
    <row r="7">
      <c r="A7" s="5" t="n">
        <v>4</v>
      </c>
      <c r="B7" s="5" t="n">
        <v>23</v>
      </c>
      <c r="C7" s="5" t="inlineStr">
        <is>
          <t>3C</t>
        </is>
      </c>
      <c r="D7" s="6" t="n">
        <v>1610</v>
      </c>
      <c r="E7" s="6" t="n">
        <v>1575.5</v>
      </c>
      <c r="F7" s="6" t="n">
        <v>1120</v>
      </c>
      <c r="G7" s="6" t="n">
        <v>4350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7">
        <f>SUM(D7:O7)</f>
        <v/>
      </c>
    </row>
    <row r="8">
      <c r="A8" s="5" t="n">
        <v>5</v>
      </c>
      <c r="B8" s="5" t="n">
        <v>24</v>
      </c>
      <c r="C8" s="5" t="inlineStr">
        <is>
          <t>1A</t>
        </is>
      </c>
      <c r="D8" s="6" t="n">
        <v>0</v>
      </c>
      <c r="E8" s="6" t="n">
        <v>1402</v>
      </c>
      <c r="F8" s="6" t="n">
        <v>998</v>
      </c>
      <c r="G8" s="6" t="n">
        <v>3750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7">
        <f>SUM(D8:O8)</f>
        <v/>
      </c>
    </row>
    <row r="9">
      <c r="P9" s="8" t="n"/>
    </row>
    <row r="10">
      <c r="O10" s="1" t="inlineStr">
        <is>
          <t>TOTAL</t>
        </is>
      </c>
      <c r="P10" s="9">
        <f>SUM(P4:P8)</f>
        <v/>
      </c>
    </row>
    <row r="11">
      <c r="P11" s="8" t="n"/>
    </row>
    <row r="12">
      <c r="P12" s="8" t="n"/>
    </row>
    <row r="13">
      <c r="D13" s="5" t="inlineStr">
        <is>
          <t>LABOR:</t>
        </is>
      </c>
      <c r="E13" s="6">
        <f>P10*0.43</f>
        <v/>
      </c>
      <c r="G13" s="5" t="inlineStr">
        <is>
          <t>Will be 43% of total amount</t>
        </is>
      </c>
      <c r="P13" s="8" t="n"/>
    </row>
    <row r="15">
      <c r="D15" s="5" t="inlineStr">
        <is>
          <t>MATERIAL:</t>
        </is>
      </c>
      <c r="E15" s="6">
        <f>P10*0.28</f>
        <v/>
      </c>
      <c r="G15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18</v>
      </c>
    </row>
    <row r="3">
      <c r="A3" s="5" t="inlineStr">
        <is>
          <t>Rows Parsed:</t>
        </is>
      </c>
      <c r="B3" s="5" t="n">
        <v>18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 PRIME</t>
        </is>
      </c>
      <c r="B7" s="5" t="n">
        <v>3</v>
      </c>
    </row>
    <row r="8">
      <c r="A8" s="5" t="inlineStr">
        <is>
          <t>EXTERIOR</t>
        </is>
      </c>
      <c r="B8" s="5" t="n">
        <v>4</v>
      </c>
    </row>
    <row r="9">
      <c r="A9" s="5" t="inlineStr">
        <is>
          <t>EXTERIOR UA</t>
        </is>
      </c>
      <c r="B9" s="5" t="n">
        <v>3</v>
      </c>
    </row>
    <row r="10">
      <c r="A10" s="5" t="inlineStr">
        <is>
          <t>INT KITCHEN, BATH &amp; LIDS</t>
        </is>
      </c>
      <c r="B10" s="5" t="n">
        <v>1</v>
      </c>
      <c r="C10" s="5" t="inlineStr">
        <is>
          <t>(auto-created)</t>
        </is>
      </c>
    </row>
    <row r="11">
      <c r="A11" s="5" t="inlineStr">
        <is>
          <t>INT KITCHEN, BATH &amp; LIDS 2</t>
        </is>
      </c>
      <c r="B11" s="5" t="n">
        <v>1</v>
      </c>
      <c r="C11" s="5" t="inlineStr">
        <is>
          <t>(auto-created)</t>
        </is>
      </c>
    </row>
    <row r="12">
      <c r="A12" s="5" t="inlineStr">
        <is>
          <t>INT KITCHEN, BATH &amp; LIDS 3</t>
        </is>
      </c>
      <c r="B12" s="5" t="n">
        <v>1</v>
      </c>
      <c r="C12" s="5" t="inlineStr">
        <is>
          <t>(auto-created)</t>
        </is>
      </c>
    </row>
    <row r="13">
      <c r="A13" s="5" t="inlineStr">
        <is>
          <t>INTERIOR</t>
        </is>
      </c>
      <c r="B13" s="5" t="n">
        <v>4</v>
      </c>
    </row>
    <row r="14">
      <c r="A14" s="5" t="inlineStr">
        <is>
          <t>TASK</t>
        </is>
      </c>
      <c r="B14" s="5" t="n">
        <v>1</v>
      </c>
      <c r="C14" s="5" t="inlineStr">
        <is>
          <t>(auto-created)</t>
        </is>
      </c>
    </row>
    <row r="16">
      <c r="A16" s="1" t="inlineStr">
        <is>
          <t>Auto-Created Categories</t>
        </is>
      </c>
    </row>
    <row r="17">
      <c r="A17" s="5" t="inlineStr">
        <is>
          <t>TASK</t>
        </is>
      </c>
      <c r="B17" s="5" t="inlineStr">
        <is>
          <t>1 rows</t>
        </is>
      </c>
    </row>
    <row r="18">
      <c r="B18" s="5" t="inlineStr">
        <is>
          <t xml:space="preserve">  - Task...</t>
        </is>
      </c>
    </row>
    <row r="19">
      <c r="B19" s="5" t="inlineStr">
        <is>
          <t xml:space="preserve">  - Task...</t>
        </is>
      </c>
    </row>
    <row r="20">
      <c r="A20" s="5" t="inlineStr">
        <is>
          <t>INT KITCHEN, BATH &amp; LIDS</t>
        </is>
      </c>
      <c r="B20" s="5" t="inlineStr">
        <is>
          <t>1 rows</t>
        </is>
      </c>
    </row>
    <row r="21">
      <c r="B21" s="5" t="inlineStr">
        <is>
          <t xml:space="preserve">  - Painting - Kitchen, Bath &amp; Lids (INT) [LS]...</t>
        </is>
      </c>
    </row>
    <row r="22">
      <c r="B22" s="5" t="inlineStr">
        <is>
          <t xml:space="preserve">  - Painting - Kitchen, Bath &amp; Lids (INT) [LS]...</t>
        </is>
      </c>
    </row>
    <row r="23">
      <c r="A23" s="5" t="inlineStr">
        <is>
          <t>INT KITCHEN, BATH &amp; LIDS 2</t>
        </is>
      </c>
      <c r="B23" s="5" t="inlineStr">
        <is>
          <t>1 rows</t>
        </is>
      </c>
    </row>
    <row r="24">
      <c r="B24" s="5" t="inlineStr">
        <is>
          <t xml:space="preserve">  - Painting - Kitchen, Bath &amp; Lids (INT) [LS]...</t>
        </is>
      </c>
    </row>
    <row r="25">
      <c r="B25" s="5" t="inlineStr">
        <is>
          <t xml:space="preserve">  - Painting - Kitchen, Bath &amp; Lids (INT) [LS]...</t>
        </is>
      </c>
    </row>
    <row r="26">
      <c r="A26" s="5" t="inlineStr">
        <is>
          <t>INT KITCHEN, BATH &amp; LIDS 3</t>
        </is>
      </c>
      <c r="B26" s="5" t="inlineStr">
        <is>
          <t>1 rows</t>
        </is>
      </c>
    </row>
    <row r="27">
      <c r="B27" s="5" t="inlineStr">
        <is>
          <t xml:space="preserve">  - Painting - Kitchen, Bath &amp; Lids (INT) [LS]...</t>
        </is>
      </c>
    </row>
    <row r="28">
      <c r="B28" s="5" t="inlineStr">
        <is>
          <t xml:space="preserve">  - Painting - Kitchen, Bath &amp; Lids (INT) [LS]...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2026-02-07T01:39:40Z</dcterms:created>
  <dcterms:modified xsi:type="dcterms:W3CDTF">2026-02-07T01:39:40Z</dcterms:modified>
</cp:coreProperties>
</file>