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46097</v>
      </c>
      <c r="B2" s="2" t="n">
        <v>46097</v>
      </c>
      <c r="C2" s="3" t="inlineStr">
        <is>
          <t>ATM WITHDRAWAL #123</t>
        </is>
      </c>
      <c r="D2" s="4" t="n">
        <v>100</v>
      </c>
    </row>
    <row r="3">
      <c r="A3" s="2" t="n">
        <v>46128</v>
      </c>
      <c r="B3" s="2" t="n">
        <v>46128</v>
      </c>
      <c r="C3" s="3" t="inlineStr">
        <is>
          <t>ATM WITHDRAWAL #123</t>
        </is>
      </c>
      <c r="D3" s="4" t="n">
        <v>200</v>
      </c>
    </row>
    <row r="4">
      <c r="D4" s="5">
        <f>SUM(D2:D3)</f>
        <v/>
      </c>
      <c r="E4" s="5">
        <f>SUM(D2:D3)</f>
        <v/>
      </c>
    </row>
    <row r="6">
      <c r="A6" s="2" t="n">
        <v>46129</v>
      </c>
      <c r="B6" s="2" t="n">
        <v>46127</v>
      </c>
      <c r="C6" s="3" t="inlineStr">
        <is>
          <t>BK #4421</t>
        </is>
      </c>
      <c r="D6" s="4" t="n">
        <v>7.5</v>
      </c>
    </row>
    <row r="7">
      <c r="D7" s="5">
        <f>SUM(D6:D6)</f>
        <v/>
      </c>
      <c r="E7" s="5">
        <f>SUM(D6:D6)</f>
        <v/>
      </c>
    </row>
    <row r="9">
      <c r="A9" s="2" t="n">
        <v>46102</v>
      </c>
      <c r="B9" s="2" t="n">
        <v>46100</v>
      </c>
      <c r="C9" s="3" t="inlineStr">
        <is>
          <t>BURGER KING 09812</t>
        </is>
      </c>
      <c r="D9" s="4" t="n">
        <v>11.4</v>
      </c>
    </row>
    <row r="10">
      <c r="A10" s="2" t="n">
        <v>46094</v>
      </c>
      <c r="B10" s="2" t="n">
        <v>46093</v>
      </c>
      <c r="C10" s="3" t="inlineStr">
        <is>
          <t>BURGER KING #4421</t>
        </is>
      </c>
      <c r="D10" s="4" t="n">
        <v>9.85</v>
      </c>
    </row>
    <row r="11">
      <c r="D11" s="5">
        <f>SUM(D9:D10)</f>
        <v/>
      </c>
      <c r="E11" s="5">
        <f>SUM(D9:D10)</f>
        <v/>
      </c>
    </row>
    <row r="13">
      <c r="A13" s="2" t="n">
        <v>46115</v>
      </c>
      <c r="B13" s="2" t="n">
        <v>46114</v>
      </c>
      <c r="C13" s="3" t="inlineStr">
        <is>
          <t>BURGERKING #2231</t>
        </is>
      </c>
      <c r="D13" s="4" t="n">
        <v>8.949999999999999</v>
      </c>
    </row>
    <row r="14">
      <c r="D14" s="5">
        <f>SUM(D13:D13)</f>
        <v/>
      </c>
      <c r="E14" s="5">
        <f>SUM(D13:D13)</f>
        <v/>
      </c>
    </row>
    <row r="16">
      <c r="A16" s="2" t="n">
        <v>46085</v>
      </c>
      <c r="B16" s="2" t="n">
        <v>46084</v>
      </c>
      <c r="C16" s="3" t="inlineStr">
        <is>
          <t>GREAT WALL CHINESE RES</t>
        </is>
      </c>
      <c r="D16" s="4" t="n">
        <v>32.45</v>
      </c>
    </row>
    <row r="17">
      <c r="A17" s="2" t="n">
        <v>46099</v>
      </c>
      <c r="B17" s="2" t="n">
        <v>46097</v>
      </c>
      <c r="C17" s="3" t="inlineStr">
        <is>
          <t>GREAT WALL CHINESE RES</t>
        </is>
      </c>
      <c r="D17" s="4" t="n">
        <v>28.9</v>
      </c>
    </row>
    <row r="18">
      <c r="A18" s="2" t="n">
        <v>46117</v>
      </c>
      <c r="B18" s="2" t="n">
        <v>46116</v>
      </c>
      <c r="C18" s="3" t="inlineStr">
        <is>
          <t>GREAT WALL CHINESE RES</t>
        </is>
      </c>
      <c r="D18" s="4" t="n">
        <v>41.2</v>
      </c>
    </row>
    <row r="19">
      <c r="D19" s="5">
        <f>SUM(D16:D18)</f>
        <v/>
      </c>
      <c r="E19" s="5">
        <f>SUM(D16:D18)</f>
        <v/>
      </c>
    </row>
    <row r="21">
      <c r="A21" s="2" t="n">
        <v>46123</v>
      </c>
      <c r="B21" s="2" t="n">
        <v>46122</v>
      </c>
      <c r="C21" s="3" t="inlineStr">
        <is>
          <t>NETFLIX.COM</t>
        </is>
      </c>
      <c r="D21" s="4" t="n">
        <v>15.99</v>
      </c>
    </row>
    <row r="22">
      <c r="D22" s="5">
        <f>SUM(D21:D21)</f>
        <v/>
      </c>
      <c r="E22" s="5">
        <f>SUM(D21:D21)</f>
        <v/>
      </c>
    </row>
    <row r="24">
      <c r="A24" s="2" t="n">
        <v>46086</v>
      </c>
      <c r="B24" s="2" t="n">
        <v>46085</v>
      </c>
      <c r="C24" s="3" t="inlineStr">
        <is>
          <t>PAYPAL *EBAYSELLER1</t>
        </is>
      </c>
      <c r="D24" s="4" t="n">
        <v>24.99</v>
      </c>
    </row>
    <row r="25">
      <c r="D25" s="5">
        <f>SUM(D24:D24)</f>
        <v/>
      </c>
      <c r="E25" s="5">
        <f>SUM(D24:D24)</f>
        <v/>
      </c>
    </row>
    <row r="27">
      <c r="A27" s="2" t="n">
        <v>46106</v>
      </c>
      <c r="B27" s="2" t="n">
        <v>46105</v>
      </c>
      <c r="C27" s="3" t="inlineStr">
        <is>
          <t>PAYPAL *ETSYSHOP</t>
        </is>
      </c>
      <c r="D27" s="4" t="n">
        <v>35.2</v>
      </c>
    </row>
    <row r="28">
      <c r="D28" s="5">
        <f>SUM(D27:D27)</f>
        <v/>
      </c>
      <c r="E28" s="5">
        <f>SUM(D27:D27)</f>
        <v/>
      </c>
    </row>
    <row r="30">
      <c r="A30" s="2" t="n">
        <v>46093</v>
      </c>
      <c r="B30" s="2" t="n">
        <v>46091</v>
      </c>
      <c r="C30" s="3" t="inlineStr">
        <is>
          <t>PAYPAL *MERCHANT99</t>
        </is>
      </c>
      <c r="D30" s="4" t="n">
        <v>67.5</v>
      </c>
    </row>
    <row r="31">
      <c r="D31" s="5">
        <f>SUM(D30:D30)</f>
        <v/>
      </c>
      <c r="E31" s="5">
        <f>SUM(D30:D30)</f>
        <v/>
      </c>
    </row>
    <row r="33">
      <c r="A33" s="2" t="n">
        <v>46088</v>
      </c>
      <c r="B33" s="2" t="n">
        <v>46087</v>
      </c>
      <c r="C33" s="3" t="inlineStr">
        <is>
          <t>SHELL OIL 12345</t>
        </is>
      </c>
      <c r="D33" s="4" t="n">
        <v>67.45</v>
      </c>
    </row>
    <row r="34">
      <c r="A34" s="2" t="n">
        <v>46095</v>
      </c>
      <c r="B34" s="2" t="n">
        <v>46093</v>
      </c>
      <c r="C34" s="3" t="inlineStr">
        <is>
          <t>SHELL OIL 12345</t>
        </is>
      </c>
      <c r="D34" s="4" t="n">
        <v>72.3</v>
      </c>
    </row>
    <row r="35">
      <c r="A35" s="2" t="n">
        <v>46113</v>
      </c>
      <c r="B35" s="2" t="n">
        <v>46112</v>
      </c>
      <c r="C35" s="3" t="inlineStr">
        <is>
          <t>SHELL OIL  98765</t>
        </is>
      </c>
      <c r="D35" s="4" t="n">
        <v>58.95</v>
      </c>
    </row>
    <row r="36">
      <c r="D36" s="5">
        <f>SUM(D33:D35)</f>
        <v/>
      </c>
      <c r="E36" s="5">
        <f>SUM(D33:D35)</f>
        <v/>
      </c>
    </row>
    <row r="38">
      <c r="A38" s="2" t="n">
        <v>46125</v>
      </c>
      <c r="B38" s="2" t="n">
        <v>46124</v>
      </c>
      <c r="C38" s="3" t="inlineStr">
        <is>
          <t>SPOTIFY USA</t>
        </is>
      </c>
      <c r="D38" s="4" t="n">
        <v>9.99</v>
      </c>
    </row>
    <row r="39">
      <c r="D39" s="5">
        <f>SUM(D38:D38)</f>
        <v/>
      </c>
      <c r="E39" s="5">
        <f>SUM(D38:D38)</f>
        <v/>
      </c>
    </row>
    <row r="41">
      <c r="A41" s="2" t="n">
        <v>46090</v>
      </c>
      <c r="B41" s="2" t="n">
        <v>46089</v>
      </c>
      <c r="C41" s="3" t="inlineStr">
        <is>
          <t>SQ *COFFEE STAND</t>
        </is>
      </c>
      <c r="D41" s="4" t="n">
        <v>6.5</v>
      </c>
    </row>
    <row r="42">
      <c r="A42" s="2" t="n">
        <v>46120</v>
      </c>
      <c r="B42" s="2" t="n">
        <v>46119</v>
      </c>
      <c r="C42" s="3" t="inlineStr">
        <is>
          <t>SQ *COFFEE STAND</t>
        </is>
      </c>
      <c r="D42" s="4" t="n">
        <v>7.25</v>
      </c>
    </row>
    <row r="43">
      <c r="D43" s="5">
        <f>SUM(D41:D42)</f>
        <v/>
      </c>
      <c r="E43" s="5">
        <f>SUM(D41:D42)</f>
        <v/>
      </c>
    </row>
    <row r="45">
      <c r="A45" s="2" t="n">
        <v>46100</v>
      </c>
      <c r="B45" s="2" t="n">
        <v>46098</v>
      </c>
      <c r="C45" s="3" t="inlineStr">
        <is>
          <t>SQ *FARMERS MARKET</t>
        </is>
      </c>
      <c r="D45" s="4" t="n">
        <v>18.75</v>
      </c>
    </row>
    <row r="46">
      <c r="D46" s="5">
        <f>SUM(D45:D45)</f>
        <v/>
      </c>
      <c r="E46" s="5">
        <f>SUM(D45:D45)</f>
        <v/>
      </c>
    </row>
    <row r="48">
      <c r="A48" s="2" t="n">
        <v>46104</v>
      </c>
      <c r="B48" s="2" t="n">
        <v>46103</v>
      </c>
      <c r="C48" s="3" t="inlineStr">
        <is>
          <t>TESCO STORES 4421</t>
        </is>
      </c>
      <c r="D48" s="4" t="n">
        <v>45.2</v>
      </c>
    </row>
    <row r="49">
      <c r="A49" s="2" t="n">
        <v>46111</v>
      </c>
      <c r="B49" s="2" t="n">
        <v>46109</v>
      </c>
      <c r="C49" s="3" t="inlineStr">
        <is>
          <t>TESCO STORES 4421</t>
        </is>
      </c>
      <c r="D49" s="4" t="n">
        <v>32.8</v>
      </c>
    </row>
    <row r="50">
      <c r="D50" s="5">
        <f>SUM(D48:D49)</f>
        <v/>
      </c>
      <c r="E50" s="5">
        <f>SUM(D48:D49)</f>
        <v/>
      </c>
    </row>
    <row r="52">
      <c r="A52" s="2" t="n">
        <v>46109</v>
      </c>
      <c r="B52" s="2" t="n">
        <v>46107</v>
      </c>
      <c r="C52" s="3" t="inlineStr">
        <is>
          <t>TST* MOMS BAKERY 0234</t>
        </is>
      </c>
      <c r="D52" s="4" t="n">
        <v>22.15</v>
      </c>
    </row>
    <row r="53">
      <c r="D53" s="5">
        <f>SUM(D52:D52)</f>
        <v/>
      </c>
      <c r="E53" s="5">
        <f>SUM(D52:D52)</f>
        <v/>
      </c>
    </row>
    <row r="55">
      <c r="A55" s="2" t="n">
        <v>46092</v>
      </c>
      <c r="B55" s="2" t="n">
        <v>46091</v>
      </c>
      <c r="C55" s="3" t="inlineStr">
        <is>
          <t>TST* THE LOCAL EATERY</t>
        </is>
      </c>
      <c r="D55" s="4" t="n">
        <v>45.8</v>
      </c>
    </row>
    <row r="56">
      <c r="D56" s="5">
        <f>SUM(D55:D55)</f>
        <v/>
      </c>
      <c r="E56" s="5">
        <f>SUM(D55:D55)</f>
        <v/>
      </c>
    </row>
    <row r="58">
      <c r="A58" s="2" t="n">
        <v>46127</v>
      </c>
      <c r="B58" s="2" t="n">
        <v>46126</v>
      </c>
      <c r="C58" s="3" t="inlineStr">
        <is>
          <t>VERIZON WIRELESS#0023</t>
        </is>
      </c>
      <c r="D58" s="4" t="n">
        <v>12.5</v>
      </c>
    </row>
    <row r="59">
      <c r="D59" s="5">
        <f>SUM(D58:D58)</f>
        <v/>
      </c>
      <c r="E59" s="5">
        <f>SUM(D58:D58)</f>
        <v/>
      </c>
    </row>
    <row r="61">
      <c r="A61" s="2" t="n">
        <v>46087</v>
      </c>
      <c r="B61" s="2" t="n">
        <v>46086</v>
      </c>
      <c r="C61" s="3" t="inlineStr">
        <is>
          <t>VERIZON WRLS MYACCT VW</t>
        </is>
      </c>
      <c r="D61" s="4" t="n">
        <v>89.98999999999999</v>
      </c>
    </row>
    <row r="62">
      <c r="A62" s="2" t="n">
        <v>46118</v>
      </c>
      <c r="B62" s="2" t="n">
        <v>46117</v>
      </c>
      <c r="C62" s="3" t="inlineStr">
        <is>
          <t>VERIZON WRLS MYACCT VW</t>
        </is>
      </c>
      <c r="D62" s="4" t="n">
        <v>89.98999999999999</v>
      </c>
    </row>
    <row r="63">
      <c r="D63" s="5">
        <f>SUM(D61:D62)</f>
        <v/>
      </c>
      <c r="E63" s="5">
        <f>SUM(D61:D62)</f>
        <v/>
      </c>
    </row>
    <row r="65">
      <c r="C65" s="6" t="inlineStr">
        <is>
          <t>Credits &amp; Refunds</t>
        </is>
      </c>
    </row>
    <row r="66">
      <c r="A66" s="2" t="n">
        <v>46112</v>
      </c>
      <c r="B66" s="2" t="n">
        <v>46112</v>
      </c>
      <c r="C66" s="3" t="inlineStr">
        <is>
          <t>PAYMENT - THANK YOU</t>
        </is>
      </c>
      <c r="D66" s="4" t="n">
        <v>-1500</v>
      </c>
    </row>
    <row r="67">
      <c r="A67" s="2" t="n">
        <v>46130</v>
      </c>
      <c r="B67" s="2" t="n">
        <v>46129</v>
      </c>
      <c r="C67" s="3" t="inlineStr">
        <is>
          <t>AUTOPAY THANK YOU</t>
        </is>
      </c>
      <c r="D67" s="4" t="n">
        <v>-750</v>
      </c>
    </row>
    <row r="68">
      <c r="A68" s="2" t="n">
        <v>46134</v>
      </c>
      <c r="B68" s="2" t="n">
        <v>46133</v>
      </c>
      <c r="C68" s="3" t="inlineStr">
        <is>
          <t>PAYPAL *REFUND TR223</t>
        </is>
      </c>
      <c r="D68" s="4" t="n">
        <v>-24.99</v>
      </c>
    </row>
    <row r="69">
      <c r="D69" s="5">
        <f>SUM(D66:D68)</f>
        <v/>
      </c>
      <c r="E69" s="5">
        <f>SUM(D66:D68)</f>
        <v/>
      </c>
    </row>
    <row r="71">
      <c r="C71" s="7" t="inlineStr">
        <is>
          <t>Grand Total (Charges Only)</t>
        </is>
      </c>
      <c r="E71" s="5">
        <f>SUM(E4,E7,E11,E14,E19,E22,E25,E28,E31,E36,E39,E43,E46,E50,E53,E56,E59,E63)</f>
        <v/>
      </c>
    </row>
    <row r="72">
      <c r="C72" s="7" t="inlineStr">
        <is>
          <t>Grand Total (Net)</t>
        </is>
      </c>
      <c r="E72" s="8">
        <f>E71+E69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2026-05-01T01:07:53Z</dcterms:created>
  <dcterms:modified xsi:type="dcterms:W3CDTF">2026-05-01T01:07:53Z</dcterms:modified>
</cp:coreProperties>
</file>