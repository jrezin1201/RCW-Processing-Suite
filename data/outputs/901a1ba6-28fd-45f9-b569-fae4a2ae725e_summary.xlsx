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QA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($* #,##0.00_);_($* (#,##0.00);_($* &quot;-&quot;??_);_(@_)"/>
  </numFmts>
  <fonts count="3">
    <font>
      <name val="Calibri"/>
      <family val="2"/>
      <color theme="1"/>
      <sz val="11"/>
      <scheme val="minor"/>
    </font>
    <font>
      <b val="1"/>
      <sz val="16"/>
    </font>
    <font>
      <sz val="16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164" fontId="2" fillId="0" borderId="1" pivotButton="0" quotePrefix="0" xfId="0"/>
    <xf numFmtId="164" fontId="2" fillId="2" borderId="1" pivotButton="0" quotePrefix="0" xfId="0"/>
    <xf numFmtId="164" fontId="1" fillId="2" borderId="0" pivotButton="0" quotePrefix="0" xfId="0"/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K18"/>
  <sheetViews>
    <sheetView workbookViewId="0">
      <selection activeCell="A1" sqref="A1"/>
    </sheetView>
  </sheetViews>
  <sheetFormatPr baseColWidth="8" defaultRowHeight="15"/>
  <cols>
    <col width="2.5" customWidth="1" min="1" max="1"/>
    <col width="15" customWidth="1" min="2" max="2"/>
    <col width="15" customWidth="1" min="3" max="3"/>
    <col width="12" customWidth="1" min="4" max="4"/>
    <col width="12" customWidth="1" min="5" max="5"/>
    <col width="14" customWidth="1" min="6" max="6"/>
    <col width="20" customWidth="1" min="7" max="7"/>
    <col width="16" customWidth="1" min="8" max="8"/>
    <col width="12" customWidth="1" min="9" max="9"/>
    <col width="14" customWidth="1" min="10" max="10"/>
    <col width="12" customWidth="1" min="11" max="11"/>
  </cols>
  <sheetData>
    <row r="1">
      <c r="B1" s="1" t="inlineStr">
        <is>
          <t xml:space="preserve">Project Name: </t>
        </is>
      </c>
      <c r="D1" s="1" t="inlineStr">
        <is>
          <t>Phase: 7</t>
        </is>
      </c>
      <c r="F1" s="1" t="inlineStr">
        <is>
          <t>Job #:</t>
        </is>
      </c>
      <c r="H1" s="1" t="inlineStr"/>
    </row>
    <row r="3">
      <c r="B3" s="2" t="inlineStr">
        <is>
          <t>LOT</t>
        </is>
      </c>
      <c r="C3" s="2" t="inlineStr">
        <is>
          <t>PLAN</t>
        </is>
      </c>
      <c r="D3" s="2" t="inlineStr">
        <is>
          <t>EXT PRIME</t>
        </is>
      </c>
      <c r="E3" s="2" t="inlineStr">
        <is>
          <t>EXTERE</t>
        </is>
      </c>
      <c r="F3" s="2" t="inlineStr">
        <is>
          <t>EXTERIOR UA</t>
        </is>
      </c>
      <c r="G3" s="2" t="inlineStr">
        <is>
          <t>INTERIOR</t>
        </is>
      </c>
      <c r="H3" s="2" t="inlineStr">
        <is>
          <t>Rolls Walls Final</t>
        </is>
      </c>
      <c r="I3" s="2" t="inlineStr">
        <is>
          <t>Touch Up</t>
        </is>
      </c>
      <c r="J3" s="2" t="inlineStr">
        <is>
          <t>Q4 Reversal</t>
        </is>
      </c>
      <c r="K3" s="3" t="inlineStr">
        <is>
          <t>Total</t>
        </is>
      </c>
    </row>
    <row r="4">
      <c r="B4" s="4" t="n">
        <v>44</v>
      </c>
      <c r="C4" s="4" t="inlineStr">
        <is>
          <t>2B</t>
        </is>
      </c>
      <c r="D4" s="5" t="n">
        <v>1341.75</v>
      </c>
      <c r="E4" s="5" t="n">
        <v>1308.74</v>
      </c>
      <c r="F4" s="5" t="n">
        <v>927.5</v>
      </c>
      <c r="G4" s="5" t="n">
        <v>3577.99</v>
      </c>
      <c r="H4" s="5" t="n">
        <v>0</v>
      </c>
      <c r="I4" s="5" t="n">
        <v>0</v>
      </c>
      <c r="J4" s="5" t="n">
        <v>0</v>
      </c>
      <c r="K4" s="6" t="n">
        <v>7155.98</v>
      </c>
    </row>
    <row r="5">
      <c r="B5" s="4" t="n">
        <v>45</v>
      </c>
      <c r="C5" s="4" t="inlineStr">
        <is>
          <t>3A</t>
        </is>
      </c>
      <c r="D5" s="5" t="n">
        <v>1543.5</v>
      </c>
      <c r="E5" s="5" t="n">
        <v>1516.49</v>
      </c>
      <c r="F5" s="5" t="n">
        <v>1056</v>
      </c>
      <c r="G5" s="5" t="n">
        <v>4115.99</v>
      </c>
      <c r="H5" s="5" t="n">
        <v>0</v>
      </c>
      <c r="I5" s="5" t="n">
        <v>0</v>
      </c>
      <c r="J5" s="5" t="n">
        <v>0</v>
      </c>
      <c r="K5" s="6" t="n">
        <v>8231.98</v>
      </c>
    </row>
    <row r="6">
      <c r="B6" s="4" t="n">
        <v>46</v>
      </c>
      <c r="C6" s="4" t="inlineStr">
        <is>
          <t>1B</t>
        </is>
      </c>
      <c r="D6" s="5" t="n">
        <v>1197.75</v>
      </c>
      <c r="E6" s="5" t="n">
        <v>1167.75</v>
      </c>
      <c r="F6" s="5" t="n">
        <v>828.5</v>
      </c>
      <c r="G6" s="5" t="n">
        <v>3193.99</v>
      </c>
      <c r="H6" s="5" t="n">
        <v>0</v>
      </c>
      <c r="I6" s="5" t="n">
        <v>0</v>
      </c>
      <c r="J6" s="5" t="n">
        <v>0</v>
      </c>
      <c r="K6" s="6" t="n">
        <v>6387.99</v>
      </c>
    </row>
    <row r="7">
      <c r="B7" s="4" t="n">
        <v>47</v>
      </c>
      <c r="C7" s="4" t="inlineStr">
        <is>
          <t>2C</t>
        </is>
      </c>
      <c r="D7" s="5" t="n">
        <v>1293</v>
      </c>
      <c r="E7" s="5" t="n">
        <v>1259.99</v>
      </c>
      <c r="F7" s="5" t="n">
        <v>895</v>
      </c>
      <c r="G7" s="5" t="n">
        <v>3447.99</v>
      </c>
      <c r="H7" s="5" t="n">
        <v>0</v>
      </c>
      <c r="I7" s="5" t="n">
        <v>0</v>
      </c>
      <c r="J7" s="5" t="n">
        <v>0</v>
      </c>
      <c r="K7" s="6" t="n">
        <v>6895.98</v>
      </c>
    </row>
    <row r="8">
      <c r="B8" s="4" t="n">
        <v>48</v>
      </c>
      <c r="C8" s="4" t="inlineStr">
        <is>
          <t>3B</t>
        </is>
      </c>
      <c r="D8" s="5" t="n">
        <v>1602</v>
      </c>
      <c r="E8" s="5" t="n">
        <v>1575</v>
      </c>
      <c r="F8" s="5" t="n">
        <v>1095</v>
      </c>
      <c r="G8" s="5" t="n">
        <v>4272</v>
      </c>
      <c r="H8" s="5" t="n">
        <v>0</v>
      </c>
      <c r="I8" s="5" t="n">
        <v>0</v>
      </c>
      <c r="J8" s="5" t="n">
        <v>0</v>
      </c>
      <c r="K8" s="6" t="n">
        <v>8544</v>
      </c>
    </row>
    <row r="9">
      <c r="B9" s="4" t="n">
        <v>49</v>
      </c>
      <c r="C9" s="4" t="inlineStr">
        <is>
          <t>1C</t>
        </is>
      </c>
      <c r="D9" s="5" t="n">
        <v>1149</v>
      </c>
      <c r="E9" s="5" t="n">
        <v>1119</v>
      </c>
      <c r="F9" s="5" t="n">
        <v>796</v>
      </c>
      <c r="G9" s="5" t="n">
        <v>3064</v>
      </c>
      <c r="H9" s="5" t="n">
        <v>0</v>
      </c>
      <c r="I9" s="5" t="n">
        <v>0</v>
      </c>
      <c r="J9" s="5" t="n">
        <v>0</v>
      </c>
      <c r="K9" s="6" t="n">
        <v>6128</v>
      </c>
    </row>
    <row r="10">
      <c r="B10" s="4" t="n">
        <v>142</v>
      </c>
      <c r="C10" s="4" t="inlineStr">
        <is>
          <t>3A</t>
        </is>
      </c>
      <c r="D10" s="5" t="n">
        <v>1543.5</v>
      </c>
      <c r="E10" s="5" t="n">
        <v>1516.49</v>
      </c>
      <c r="F10" s="5" t="n">
        <v>1056</v>
      </c>
      <c r="G10" s="5" t="n">
        <v>4115.99</v>
      </c>
      <c r="H10" s="5" t="n">
        <v>0</v>
      </c>
      <c r="I10" s="5" t="n">
        <v>0</v>
      </c>
      <c r="J10" s="5" t="n">
        <v>0</v>
      </c>
      <c r="K10" s="6" t="n">
        <v>8231.98</v>
      </c>
    </row>
    <row r="11">
      <c r="B11" s="4" t="n">
        <v>143</v>
      </c>
      <c r="C11" s="4" t="inlineStr">
        <is>
          <t>2B</t>
        </is>
      </c>
      <c r="D11" s="5" t="n">
        <v>1341.75</v>
      </c>
      <c r="E11" s="5" t="n">
        <v>1308.74</v>
      </c>
      <c r="F11" s="5" t="n">
        <v>927.5</v>
      </c>
      <c r="G11" s="5" t="n">
        <v>3577.99</v>
      </c>
      <c r="H11" s="5" t="n">
        <v>0</v>
      </c>
      <c r="I11" s="5" t="n">
        <v>0</v>
      </c>
      <c r="J11" s="5" t="n">
        <v>0</v>
      </c>
      <c r="K11" s="6" t="n">
        <v>7155.98</v>
      </c>
    </row>
    <row r="12">
      <c r="B12" s="4" t="n">
        <v>144</v>
      </c>
      <c r="C12" s="4" t="inlineStr">
        <is>
          <t>3C</t>
        </is>
      </c>
      <c r="D12" s="5" t="n">
        <v>1580.25</v>
      </c>
      <c r="E12" s="5" t="n">
        <v>1553.24</v>
      </c>
      <c r="F12" s="5" t="n">
        <v>1080.5</v>
      </c>
      <c r="G12" s="5" t="n">
        <v>4213.99</v>
      </c>
      <c r="H12" s="5" t="n">
        <v>0</v>
      </c>
      <c r="I12" s="5" t="n">
        <v>0</v>
      </c>
      <c r="J12" s="5" t="n">
        <v>0</v>
      </c>
      <c r="K12" s="6" t="n">
        <v>8427.98</v>
      </c>
    </row>
    <row r="13"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s="1" t="inlineStr">
        <is>
          <t>TOTAL</t>
        </is>
      </c>
      <c r="K13" s="7">
        <f>SUM(K4:K12)</f>
        <v/>
      </c>
    </row>
    <row r="16">
      <c r="E16" s="8" t="inlineStr">
        <is>
          <t>LABOR:</t>
        </is>
      </c>
      <c r="F16" s="9">
        <f>K13*0.43</f>
        <v/>
      </c>
      <c r="G16" s="8" t="inlineStr">
        <is>
          <t>43% of total amount</t>
        </is>
      </c>
    </row>
    <row r="18">
      <c r="E18" s="8" t="inlineStr">
        <is>
          <t>MATERIAL:</t>
        </is>
      </c>
      <c r="F18" s="9">
        <f>K13*0.28</f>
        <v/>
      </c>
      <c r="G18" s="8" t="inlineStr">
        <is>
          <t>28% of total amount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20" customWidth="1" min="4" max="4"/>
  </cols>
  <sheetData>
    <row r="1">
      <c r="A1" s="1" t="inlineStr">
        <is>
          <t>Parsing Statistics</t>
        </is>
      </c>
    </row>
    <row r="2">
      <c r="A2" s="8" t="inlineStr">
        <is>
          <t>Total Rows Seen:</t>
        </is>
      </c>
      <c r="B2" s="8" t="n">
        <v>46</v>
      </c>
    </row>
    <row r="3">
      <c r="A3" s="8" t="inlineStr">
        <is>
          <t>Rows Parsed:</t>
        </is>
      </c>
      <c r="B3" s="8" t="n">
        <v>46</v>
      </c>
    </row>
    <row r="4">
      <c r="A4" s="8" t="inlineStr">
        <is>
          <t>Rows Skipped (Missing Fields):</t>
        </is>
      </c>
      <c r="B4" s="8" t="n">
        <v>0</v>
      </c>
    </row>
    <row r="6">
      <c r="A6" s="1" t="inlineStr">
        <is>
          <t>Classification Counts</t>
        </is>
      </c>
    </row>
    <row r="7">
      <c r="A7" s="8" t="inlineStr">
        <is>
          <t>UNMAPPED</t>
        </is>
      </c>
      <c r="B7" s="8" t="n">
        <v>1</v>
      </c>
    </row>
    <row r="8">
      <c r="A8" s="8" t="inlineStr">
        <is>
          <t>EXTERE</t>
        </is>
      </c>
      <c r="B8" s="8" t="n">
        <v>9</v>
      </c>
    </row>
    <row r="9">
      <c r="A9" s="8" t="inlineStr">
        <is>
          <t>INTERIOR</t>
        </is>
      </c>
      <c r="B9" s="8" t="n">
        <v>18</v>
      </c>
    </row>
    <row r="10">
      <c r="A10" s="8" t="inlineStr">
        <is>
          <t>EXTERIOR UA</t>
        </is>
      </c>
      <c r="B10" s="8" t="n">
        <v>9</v>
      </c>
    </row>
    <row r="11">
      <c r="A11" s="8" t="inlineStr">
        <is>
          <t>EXT PRIME</t>
        </is>
      </c>
      <c r="B11" s="8" t="n">
        <v>9</v>
      </c>
    </row>
    <row r="13">
      <c r="A13" s="1" t="inlineStr">
        <is>
          <t>Top Unmapped Tasks</t>
        </is>
      </c>
    </row>
    <row r="14">
      <c r="A14" s="1" t="inlineStr">
        <is>
          <t>Task Text</t>
        </is>
      </c>
      <c r="B14" s="1" t="inlineStr">
        <is>
          <t>Count</t>
        </is>
      </c>
    </row>
    <row r="15">
      <c r="A15" s="8" t="inlineStr">
        <is>
          <t>Task</t>
        </is>
      </c>
      <c r="B15" s="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2026-01-30T20:26:43Z</dcterms:created>
  <dcterms:modified xsi:type="dcterms:W3CDTF">2026-01-30T20:26:43Z</dcterms:modified>
</cp:coreProperties>
</file>