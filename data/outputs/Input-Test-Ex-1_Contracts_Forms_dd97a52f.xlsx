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7" customWidth="1" min="11" max="11"/>
    <col width="17" customWidth="1" min="12" max="12"/>
    <col width="12" customWidth="1" min="13" max="13"/>
    <col width="14" customWidth="1" min="14" max="14"/>
    <col width="14" customWidth="1" min="15" max="15"/>
    <col width="20" customWidth="1" min="16" max="16"/>
    <col width="12" customWidth="1" min="17" max="17"/>
  </cols>
  <sheetData>
    <row r="1">
      <c r="B1" s="1" t="inlineStr">
        <is>
          <t>Project Name: Arches</t>
        </is>
      </c>
      <c r="G1" s="1" t="inlineStr">
        <is>
          <t>Phase:7</t>
        </is>
      </c>
      <c r="H1" s="2" t="inlineStr">
        <is>
          <t>HS 0044-0049, 0144-0142 (NOV)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(2)</t>
        </is>
      </c>
      <c r="G3" s="3" t="inlineStr">
        <is>
          <t>EXTERIOR (3)</t>
        </is>
      </c>
      <c r="H3" s="3" t="inlineStr">
        <is>
          <t>EXTERIOR (4)</t>
        </is>
      </c>
      <c r="I3" s="3" t="inlineStr">
        <is>
          <t>EXTERIOR (5)</t>
        </is>
      </c>
      <c r="J3" s="3" t="inlineStr">
        <is>
          <t>EXTERIOR UA</t>
        </is>
      </c>
      <c r="K3" s="3" t="inlineStr">
        <is>
          <t>EXTERIOR UA (2)</t>
        </is>
      </c>
      <c r="L3" s="3" t="inlineStr">
        <is>
          <t>EXTERIOR UA (3)</t>
        </is>
      </c>
      <c r="M3" s="3" t="inlineStr">
        <is>
          <t>INTERIOR</t>
        </is>
      </c>
      <c r="N3" s="3" t="inlineStr">
        <is>
          <t>INTERIOR (2)</t>
        </is>
      </c>
      <c r="O3" s="3" t="inlineStr">
        <is>
          <t>INTERIOR (3)</t>
        </is>
      </c>
      <c r="P3" s="3" t="inlineStr">
        <is>
          <t>INT KITCHEN, BATH &amp; LIDS</t>
        </is>
      </c>
      <c r="Q3" s="4" t="inlineStr">
        <is>
          <t>Total</t>
        </is>
      </c>
    </row>
    <row r="4">
      <c r="A4" s="5" t="n">
        <v>1</v>
      </c>
      <c r="B4" s="5" t="n">
        <v>44</v>
      </c>
      <c r="C4" s="5" t="inlineStr">
        <is>
          <t>2B</t>
        </is>
      </c>
      <c r="D4" s="6" t="n">
        <v>1341.75</v>
      </c>
      <c r="E4" s="6" t="n">
        <v>1308.74</v>
      </c>
      <c r="F4" s="6" t="n">
        <v>1308.74</v>
      </c>
      <c r="G4" s="6" t="n">
        <v>1308.74</v>
      </c>
      <c r="H4" s="6" t="n">
        <v>1308.74</v>
      </c>
      <c r="I4" s="6" t="n">
        <v>1308.74</v>
      </c>
      <c r="J4" s="6" t="n">
        <v>927.5</v>
      </c>
      <c r="K4" s="6" t="n">
        <v>927.5</v>
      </c>
      <c r="L4" s="6" t="n">
        <v>927.5</v>
      </c>
      <c r="M4" s="6" t="n">
        <v>3577.99</v>
      </c>
      <c r="N4" s="6" t="n">
        <v>0</v>
      </c>
      <c r="O4" s="6" t="n">
        <v>0</v>
      </c>
      <c r="P4" s="6" t="n">
        <v>0</v>
      </c>
      <c r="Q4" s="7">
        <f>SUM(D4:P4)</f>
        <v/>
      </c>
    </row>
    <row r="5">
      <c r="A5" s="5" t="n">
        <v>2</v>
      </c>
      <c r="B5" s="5" t="n">
        <v>45</v>
      </c>
      <c r="C5" s="5" t="inlineStr">
        <is>
          <t>3A</t>
        </is>
      </c>
      <c r="D5" s="6" t="n">
        <v>1543.5</v>
      </c>
      <c r="E5" s="6" t="n">
        <v>1516.49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1056</v>
      </c>
      <c r="K5" s="6" t="n">
        <v>0</v>
      </c>
      <c r="L5" s="6" t="n">
        <v>0</v>
      </c>
      <c r="M5" s="6" t="n">
        <v>4115.99</v>
      </c>
      <c r="N5" s="6" t="n">
        <v>0</v>
      </c>
      <c r="O5" s="6" t="n">
        <v>0</v>
      </c>
      <c r="P5" s="6" t="n">
        <v>0</v>
      </c>
      <c r="Q5" s="7">
        <f>SUM(D5:P5)</f>
        <v/>
      </c>
    </row>
    <row r="6">
      <c r="A6" s="5" t="n">
        <v>3</v>
      </c>
      <c r="B6" s="5" t="n">
        <v>46</v>
      </c>
      <c r="C6" s="5" t="inlineStr">
        <is>
          <t>1B</t>
        </is>
      </c>
      <c r="D6" s="6" t="n">
        <v>1197.75</v>
      </c>
      <c r="E6" s="6" t="n">
        <v>1167.75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828.5</v>
      </c>
      <c r="K6" s="6" t="n">
        <v>0</v>
      </c>
      <c r="L6" s="6" t="n">
        <v>0</v>
      </c>
      <c r="M6" s="6" t="n">
        <v>3193.99</v>
      </c>
      <c r="N6" s="6" t="n">
        <v>0</v>
      </c>
      <c r="O6" s="6" t="n">
        <v>0</v>
      </c>
      <c r="P6" s="6" t="n">
        <v>0</v>
      </c>
      <c r="Q6" s="7">
        <f>SUM(D6:P6)</f>
        <v/>
      </c>
    </row>
    <row r="7">
      <c r="A7" s="5" t="n">
        <v>4</v>
      </c>
      <c r="B7" s="5" t="n">
        <v>47</v>
      </c>
      <c r="C7" s="5" t="inlineStr">
        <is>
          <t>2C</t>
        </is>
      </c>
      <c r="D7" s="6" t="n">
        <v>1293</v>
      </c>
      <c r="E7" s="6" t="n">
        <v>1259.99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895</v>
      </c>
      <c r="K7" s="6" t="n">
        <v>0</v>
      </c>
      <c r="L7" s="6" t="n">
        <v>0</v>
      </c>
      <c r="M7" s="6" t="n">
        <v>3447.99</v>
      </c>
      <c r="N7" s="6" t="n">
        <v>3447.99</v>
      </c>
      <c r="O7" s="6" t="n">
        <v>3447.99</v>
      </c>
      <c r="P7" s="6" t="n">
        <v>0</v>
      </c>
      <c r="Q7" s="7">
        <f>SUM(D7:P7)</f>
        <v/>
      </c>
    </row>
    <row r="8">
      <c r="A8" s="5" t="n">
        <v>5</v>
      </c>
      <c r="B8" s="5" t="n">
        <v>48</v>
      </c>
      <c r="C8" s="5" t="inlineStr">
        <is>
          <t>3B</t>
        </is>
      </c>
      <c r="D8" s="6" t="n">
        <v>1602</v>
      </c>
      <c r="E8" s="6" t="n">
        <v>1575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1095</v>
      </c>
      <c r="K8" s="6" t="n">
        <v>0</v>
      </c>
      <c r="L8" s="6" t="n">
        <v>0</v>
      </c>
      <c r="M8" s="6" t="n">
        <v>4272</v>
      </c>
      <c r="N8" s="6" t="n">
        <v>0</v>
      </c>
      <c r="O8" s="6" t="n">
        <v>0</v>
      </c>
      <c r="P8" s="6" t="n">
        <v>0</v>
      </c>
      <c r="Q8" s="7">
        <f>SUM(D8:P8)</f>
        <v/>
      </c>
    </row>
    <row r="9">
      <c r="A9" s="5" t="n">
        <v>6</v>
      </c>
      <c r="B9" s="5" t="n">
        <v>49</v>
      </c>
      <c r="C9" s="5" t="inlineStr">
        <is>
          <t>1C</t>
        </is>
      </c>
      <c r="D9" s="6" t="n">
        <v>1149</v>
      </c>
      <c r="E9" s="6" t="n">
        <v>1119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796</v>
      </c>
      <c r="K9" s="6" t="n">
        <v>0</v>
      </c>
      <c r="L9" s="6" t="n">
        <v>0</v>
      </c>
      <c r="M9" s="6" t="n">
        <v>3064</v>
      </c>
      <c r="N9" s="6" t="n">
        <v>0</v>
      </c>
      <c r="O9" s="6" t="n">
        <v>0</v>
      </c>
      <c r="P9" s="6" t="n">
        <v>0</v>
      </c>
      <c r="Q9" s="7">
        <f>SUM(D9:P9)</f>
        <v/>
      </c>
    </row>
    <row r="10">
      <c r="A10" s="5" t="n">
        <v>7</v>
      </c>
      <c r="B10" s="5" t="n">
        <v>142</v>
      </c>
      <c r="C10" s="5" t="inlineStr">
        <is>
          <t>3A</t>
        </is>
      </c>
      <c r="D10" s="6" t="n">
        <v>1543.5</v>
      </c>
      <c r="E10" s="6" t="n">
        <v>1516.49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1056</v>
      </c>
      <c r="K10" s="6" t="n">
        <v>0</v>
      </c>
      <c r="L10" s="6" t="n">
        <v>0</v>
      </c>
      <c r="M10" s="6" t="n">
        <v>4115.99</v>
      </c>
      <c r="N10" s="6" t="n">
        <v>0</v>
      </c>
      <c r="O10" s="6" t="n">
        <v>0</v>
      </c>
      <c r="P10" s="6" t="n">
        <v>0</v>
      </c>
      <c r="Q10" s="7">
        <f>SUM(D10:P10)</f>
        <v/>
      </c>
    </row>
    <row r="11">
      <c r="A11" s="5" t="n">
        <v>8</v>
      </c>
      <c r="B11" s="5" t="n">
        <v>143</v>
      </c>
      <c r="C11" s="5" t="inlineStr">
        <is>
          <t>2B</t>
        </is>
      </c>
      <c r="D11" s="6" t="n">
        <v>1341.75</v>
      </c>
      <c r="E11" s="6" t="n">
        <v>1308.74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927.5</v>
      </c>
      <c r="K11" s="6" t="n">
        <v>0</v>
      </c>
      <c r="L11" s="6" t="n">
        <v>0</v>
      </c>
      <c r="M11" s="6" t="n">
        <v>3577.99</v>
      </c>
      <c r="N11" s="6" t="n">
        <v>0</v>
      </c>
      <c r="O11" s="6" t="n">
        <v>0</v>
      </c>
      <c r="P11" s="6" t="n">
        <v>0</v>
      </c>
      <c r="Q11" s="7">
        <f>SUM(D11:P11)</f>
        <v/>
      </c>
    </row>
    <row r="12">
      <c r="A12" s="5" t="n">
        <v>9</v>
      </c>
      <c r="B12" s="5" t="n">
        <v>144</v>
      </c>
      <c r="C12" s="5" t="inlineStr">
        <is>
          <t>3C</t>
        </is>
      </c>
      <c r="D12" s="6" t="n">
        <v>1580.25</v>
      </c>
      <c r="E12" s="6" t="n">
        <v>1553.24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1080.5</v>
      </c>
      <c r="K12" s="6" t="n">
        <v>0</v>
      </c>
      <c r="L12" s="6" t="n">
        <v>0</v>
      </c>
      <c r="M12" s="6" t="n">
        <v>4213.99</v>
      </c>
      <c r="N12" s="6" t="n">
        <v>0</v>
      </c>
      <c r="O12" s="6" t="n">
        <v>0</v>
      </c>
      <c r="P12" s="6" t="n">
        <v>0</v>
      </c>
      <c r="Q12" s="7">
        <f>SUM(D12:P12)</f>
        <v/>
      </c>
    </row>
    <row r="13">
      <c r="Q13" s="8" t="n"/>
    </row>
    <row r="14">
      <c r="P14" s="1" t="inlineStr">
        <is>
          <t>TOTAL</t>
        </is>
      </c>
      <c r="Q14" s="9">
        <f>SUM(Q4:Q12)</f>
        <v/>
      </c>
    </row>
    <row r="17">
      <c r="D17" s="5" t="inlineStr">
        <is>
          <t>LABOR:</t>
        </is>
      </c>
      <c r="E17" s="6">
        <f>Q14*0.43</f>
        <v/>
      </c>
      <c r="G17" s="5" t="inlineStr">
        <is>
          <t>Will be 43% of total amount</t>
        </is>
      </c>
    </row>
    <row r="19">
      <c r="D19" s="5" t="inlineStr">
        <is>
          <t>MATERIAL:</t>
        </is>
      </c>
      <c r="E19" s="6">
        <f>Q14*0.28</f>
        <v/>
      </c>
      <c r="G19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53</v>
      </c>
    </row>
    <row r="3">
      <c r="A3" s="5" t="inlineStr">
        <is>
          <t>Rows Parsed:</t>
        </is>
      </c>
      <c r="B3" s="5" t="n">
        <v>53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EXT PRIME</t>
        </is>
      </c>
      <c r="B7" s="5" t="n">
        <v>9</v>
      </c>
    </row>
    <row r="8">
      <c r="A8" s="5" t="inlineStr">
        <is>
          <t>EXTERIOR</t>
        </is>
      </c>
      <c r="B8" s="5" t="n">
        <v>13</v>
      </c>
    </row>
    <row r="9">
      <c r="A9" s="5" t="inlineStr">
        <is>
          <t>EXTERIOR UA</t>
        </is>
      </c>
      <c r="B9" s="5" t="n">
        <v>11</v>
      </c>
    </row>
    <row r="10">
      <c r="A10" s="5" t="inlineStr">
        <is>
          <t>INT KITCHEN, BATH &amp; LIDS</t>
        </is>
      </c>
      <c r="B10" s="5" t="n">
        <v>9</v>
      </c>
      <c r="C10" s="5" t="inlineStr">
        <is>
          <t>(auto-created)</t>
        </is>
      </c>
    </row>
    <row r="11">
      <c r="A11" s="5" t="inlineStr">
        <is>
          <t>INTERIOR</t>
        </is>
      </c>
      <c r="B11" s="5" t="n">
        <v>11</v>
      </c>
    </row>
    <row r="13">
      <c r="A13" s="1" t="inlineStr">
        <is>
          <t>Auto-Created Categories</t>
        </is>
      </c>
    </row>
    <row r="14">
      <c r="A14" s="5" t="inlineStr">
        <is>
          <t>INT KITCHEN, BATH &amp; LIDS</t>
        </is>
      </c>
      <c r="B14" s="5" t="inlineStr">
        <is>
          <t>9 rows</t>
        </is>
      </c>
    </row>
    <row r="15">
      <c r="B15" s="5" t="inlineStr">
        <is>
          <t xml:space="preserve">  - Painting - Kitchen, Bath &amp; Lids (INT) [LS]...</t>
        </is>
      </c>
    </row>
    <row r="16">
      <c r="B16" s="5" t="inlineStr">
        <is>
          <t xml:space="preserve">  - Painting - Kitchen, Bath &amp; Lids (INT) [LS]...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2026-02-11T18:33:53Z</dcterms:created>
  <dcterms:modified xsi:type="dcterms:W3CDTF">2026-02-11T18:33:53Z</dcterms:modified>
</cp:coreProperties>
</file>